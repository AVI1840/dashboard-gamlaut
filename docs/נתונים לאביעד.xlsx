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_Mehkar\SHARDAT\SHARON\My_Documents\"/>
    </mc:Choice>
  </mc:AlternateContent>
  <xr:revisionPtr revIDLastSave="0" documentId="13_ncr:1_{EE518C28-AF87-4AB9-8612-69A171A9231F}" xr6:coauthVersionLast="47" xr6:coauthVersionMax="47" xr10:uidLastSave="{00000000-0000-0000-0000-000000000000}"/>
  <bookViews>
    <workbookView xWindow="-108" yWindow="-108" windowWidth="23256" windowHeight="12576" xr2:uid="{298635F1-9304-4988-808D-14791E6C5B79}"/>
  </bookViews>
  <sheets>
    <sheet name="זמן ברמה" sheetId="1" r:id="rId1"/>
    <sheet name="שיעור הנשים" sheetId="7" r:id="rId2"/>
    <sheet name="גילאים" sheetId="5" r:id="rId3"/>
    <sheet name="שירותים 1" sheetId="8" r:id="rId4"/>
    <sheet name="שירותים 2" sheetId="9" r:id="rId5"/>
    <sheet name="שירותים 3" sheetId="3" r:id="rId6"/>
    <sheet name="נותני שירותים (טיפול אישי בבית)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9" i="9" l="1"/>
  <c r="N39" i="9"/>
  <c r="M39" i="9"/>
  <c r="L39" i="9"/>
  <c r="K39" i="9"/>
  <c r="J39" i="9"/>
  <c r="P39" i="9" s="1"/>
  <c r="O38" i="9"/>
  <c r="N38" i="9"/>
  <c r="M38" i="9"/>
  <c r="L38" i="9"/>
  <c r="K38" i="9"/>
  <c r="J38" i="9"/>
  <c r="P38" i="9" s="1"/>
  <c r="O37" i="9"/>
  <c r="N37" i="9"/>
  <c r="M37" i="9"/>
  <c r="L37" i="9"/>
  <c r="K37" i="9"/>
  <c r="J37" i="9"/>
  <c r="P37" i="9" s="1"/>
  <c r="O36" i="9"/>
  <c r="N36" i="9"/>
  <c r="M36" i="9"/>
  <c r="L36" i="9"/>
  <c r="K36" i="9"/>
  <c r="J36" i="9"/>
  <c r="P36" i="9" s="1"/>
  <c r="O35" i="9"/>
  <c r="N35" i="9"/>
  <c r="P35" i="9" s="1"/>
  <c r="M35" i="9"/>
  <c r="L35" i="9"/>
  <c r="K35" i="9"/>
  <c r="J35" i="9"/>
  <c r="O34" i="9"/>
  <c r="N34" i="9"/>
  <c r="M34" i="9"/>
  <c r="L34" i="9"/>
  <c r="K34" i="9"/>
  <c r="J34" i="9"/>
  <c r="P34" i="9" s="1"/>
  <c r="O33" i="9"/>
  <c r="N33" i="9"/>
  <c r="M33" i="9"/>
  <c r="L33" i="9"/>
  <c r="K33" i="9"/>
  <c r="J33" i="9"/>
  <c r="P33" i="9" s="1"/>
  <c r="O32" i="9"/>
  <c r="N32" i="9"/>
  <c r="M32" i="9"/>
  <c r="L32" i="9"/>
  <c r="K32" i="9"/>
  <c r="J32" i="9"/>
  <c r="P32" i="9" s="1"/>
  <c r="O31" i="9"/>
  <c r="N31" i="9"/>
  <c r="M31" i="9"/>
  <c r="L31" i="9"/>
  <c r="K31" i="9"/>
  <c r="J31" i="9"/>
  <c r="P31" i="9" s="1"/>
  <c r="O30" i="9"/>
  <c r="N30" i="9"/>
  <c r="M30" i="9"/>
  <c r="L30" i="9"/>
  <c r="K30" i="9"/>
  <c r="J30" i="9"/>
  <c r="P30" i="9" s="1"/>
  <c r="O29" i="9"/>
  <c r="N29" i="9"/>
  <c r="M29" i="9"/>
  <c r="L29" i="9"/>
  <c r="K29" i="9"/>
  <c r="J29" i="9"/>
  <c r="P29" i="9" s="1"/>
  <c r="O28" i="9"/>
  <c r="N28" i="9"/>
  <c r="M28" i="9"/>
  <c r="L28" i="9"/>
  <c r="K28" i="9"/>
  <c r="J28" i="9"/>
  <c r="P28" i="9" s="1"/>
  <c r="O27" i="9"/>
  <c r="N27" i="9"/>
  <c r="M27" i="9"/>
  <c r="L27" i="9"/>
  <c r="K27" i="9"/>
  <c r="J27" i="9"/>
  <c r="P27" i="9" s="1"/>
  <c r="O26" i="9"/>
  <c r="N26" i="9"/>
  <c r="M26" i="9"/>
  <c r="L26" i="9"/>
  <c r="K26" i="9"/>
  <c r="P26" i="9" s="1"/>
  <c r="J26" i="9"/>
  <c r="O25" i="9"/>
  <c r="N25" i="9"/>
  <c r="M25" i="9"/>
  <c r="L25" i="9"/>
  <c r="K25" i="9"/>
  <c r="J25" i="9"/>
  <c r="P25" i="9" s="1"/>
  <c r="P24" i="9"/>
  <c r="O24" i="9"/>
  <c r="N24" i="9"/>
  <c r="M24" i="9"/>
  <c r="L24" i="9"/>
  <c r="K24" i="9"/>
  <c r="J24" i="9"/>
  <c r="M20" i="3"/>
  <c r="L20" i="3"/>
  <c r="K20" i="3"/>
  <c r="J20" i="3"/>
  <c r="I20" i="3"/>
  <c r="H20" i="3"/>
  <c r="N20" i="3" s="1"/>
  <c r="M19" i="3"/>
  <c r="L19" i="3"/>
  <c r="K19" i="3"/>
  <c r="J19" i="3"/>
  <c r="I19" i="3"/>
  <c r="H19" i="3"/>
  <c r="N19" i="3" s="1"/>
  <c r="M18" i="3"/>
  <c r="L18" i="3"/>
  <c r="K18" i="3"/>
  <c r="J18" i="3"/>
  <c r="I18" i="3"/>
  <c r="H18" i="3"/>
  <c r="N18" i="3" s="1"/>
  <c r="M17" i="3"/>
  <c r="L17" i="3"/>
  <c r="K17" i="3"/>
  <c r="J17" i="3"/>
  <c r="I17" i="3"/>
  <c r="H17" i="3"/>
  <c r="N17" i="3" s="1"/>
  <c r="M16" i="3"/>
  <c r="L16" i="3"/>
  <c r="K16" i="3"/>
  <c r="J16" i="3"/>
  <c r="I16" i="3"/>
  <c r="H16" i="3"/>
  <c r="N16" i="3" s="1"/>
  <c r="M15" i="3"/>
  <c r="L15" i="3"/>
  <c r="K15" i="3"/>
  <c r="J15" i="3"/>
  <c r="I15" i="3"/>
  <c r="H15" i="3"/>
  <c r="M19" i="8"/>
  <c r="L19" i="8"/>
  <c r="K19" i="8"/>
  <c r="J19" i="8"/>
  <c r="I19" i="8"/>
  <c r="H19" i="8"/>
  <c r="N19" i="8" s="1"/>
  <c r="M18" i="8"/>
  <c r="L18" i="8"/>
  <c r="K18" i="8"/>
  <c r="J18" i="8"/>
  <c r="I18" i="8"/>
  <c r="H18" i="8"/>
  <c r="N18" i="8" s="1"/>
  <c r="M17" i="8"/>
  <c r="L17" i="8"/>
  <c r="K17" i="8"/>
  <c r="J17" i="8"/>
  <c r="I17" i="8"/>
  <c r="H17" i="8"/>
  <c r="N17" i="8" s="1"/>
  <c r="M16" i="8"/>
  <c r="L16" i="8"/>
  <c r="K16" i="8"/>
  <c r="J16" i="8"/>
  <c r="I16" i="8"/>
  <c r="H16" i="8"/>
  <c r="N16" i="8" s="1"/>
  <c r="M15" i="8"/>
  <c r="L15" i="8"/>
  <c r="K15" i="8"/>
  <c r="J15" i="8"/>
  <c r="I15" i="8"/>
  <c r="H15" i="8"/>
  <c r="N15" i="8" s="1"/>
  <c r="N14" i="8"/>
  <c r="M14" i="8"/>
  <c r="L14" i="8"/>
  <c r="K14" i="8"/>
  <c r="J14" i="8"/>
  <c r="I14" i="8"/>
  <c r="H14" i="8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4" i="9"/>
  <c r="E64" i="3"/>
  <c r="E63" i="3"/>
  <c r="E62" i="3"/>
  <c r="E61" i="3"/>
  <c r="E60" i="3"/>
  <c r="E59" i="3"/>
  <c r="E53" i="3"/>
  <c r="E52" i="3"/>
  <c r="E51" i="3"/>
  <c r="E50" i="3"/>
  <c r="E49" i="3"/>
  <c r="E48" i="3"/>
  <c r="E42" i="3"/>
  <c r="E41" i="3"/>
  <c r="E40" i="3"/>
  <c r="E39" i="3"/>
  <c r="E38" i="3"/>
  <c r="E37" i="3"/>
  <c r="E31" i="3"/>
  <c r="E30" i="3"/>
  <c r="E29" i="3"/>
  <c r="E28" i="3"/>
  <c r="E27" i="3"/>
  <c r="E26" i="3"/>
  <c r="E20" i="3"/>
  <c r="E19" i="3"/>
  <c r="E18" i="3"/>
  <c r="E17" i="3"/>
  <c r="E16" i="3"/>
  <c r="E15" i="3"/>
  <c r="E9" i="3"/>
  <c r="E8" i="3"/>
  <c r="E7" i="3"/>
  <c r="E6" i="3"/>
  <c r="E5" i="3"/>
  <c r="E4" i="3"/>
  <c r="E64" i="8"/>
  <c r="E63" i="8"/>
  <c r="E62" i="8"/>
  <c r="E61" i="8"/>
  <c r="E60" i="8"/>
  <c r="E59" i="8"/>
  <c r="E53" i="8"/>
  <c r="E52" i="8"/>
  <c r="E51" i="8"/>
  <c r="E50" i="8"/>
  <c r="E49" i="8"/>
  <c r="E48" i="8"/>
  <c r="E42" i="8"/>
  <c r="E41" i="8"/>
  <c r="E40" i="8"/>
  <c r="E39" i="8"/>
  <c r="E38" i="8"/>
  <c r="E37" i="8"/>
  <c r="E31" i="8"/>
  <c r="E30" i="8"/>
  <c r="E29" i="8"/>
  <c r="E28" i="8"/>
  <c r="E27" i="8"/>
  <c r="E26" i="8"/>
  <c r="E20" i="8"/>
  <c r="E19" i="8"/>
  <c r="E18" i="8"/>
  <c r="E17" i="8"/>
  <c r="E16" i="8"/>
  <c r="E15" i="8"/>
  <c r="E5" i="8"/>
  <c r="E6" i="8"/>
  <c r="E7" i="8"/>
  <c r="E8" i="8"/>
  <c r="E9" i="8"/>
  <c r="E4" i="8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F2" i="6"/>
  <c r="E2" i="6"/>
  <c r="N15" i="3" l="1"/>
</calcChain>
</file>

<file path=xl/sharedStrings.xml><?xml version="1.0" encoding="utf-8"?>
<sst xmlns="http://schemas.openxmlformats.org/spreadsheetml/2006/main" count="201" uniqueCount="28">
  <si>
    <t>Total</t>
  </si>
  <si>
    <t>מבקשי החמרה (ממוצע חודשי)</t>
  </si>
  <si>
    <t>רמת הגמלה גדלה (ממוצע חודשי)</t>
  </si>
  <si>
    <t>סמל חברה</t>
  </si>
  <si>
    <t>זכאים דור ב (ממוצע חודשי)</t>
  </si>
  <si>
    <t>סך הכל</t>
  </si>
  <si>
    <t>אחוז בקשות החמרה שאושרו</t>
  </si>
  <si>
    <t>אחוז מבקשי החמרה</t>
  </si>
  <si>
    <t>רמת מוצא</t>
  </si>
  <si>
    <t>מספר מקרים</t>
  </si>
  <si>
    <t>זמן ממוצע (חודשים)</t>
  </si>
  <si>
    <t>זמן חציוני (חודשים)</t>
  </si>
  <si>
    <t>מרמה</t>
  </si>
  <si>
    <t>לרמה</t>
  </si>
  <si>
    <t>שינוי במספר רמות</t>
  </si>
  <si>
    <t>שיעור הנשים</t>
  </si>
  <si>
    <t>גיל ממוצע</t>
  </si>
  <si>
    <t>גיל חציוני</t>
  </si>
  <si>
    <t>טיפול אישי בבית</t>
  </si>
  <si>
    <t>ביקור במרכז יום</t>
  </si>
  <si>
    <t>מוצרי ספיגה</t>
  </si>
  <si>
    <t>משדרי מצוקה</t>
  </si>
  <si>
    <t>שירותי כביסה</t>
  </si>
  <si>
    <t>קהילה תומכת</t>
  </si>
  <si>
    <t>מספר שירותים</t>
  </si>
  <si>
    <t>אין</t>
  </si>
  <si>
    <t>יש</t>
  </si>
  <si>
    <t>שיעור מקבלי שירות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</si>
</sst>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%"/>
    <numFmt numFmtId="169" formatCode="#,##0.0"/>
  </numFmts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" xfId="0" applyBorder="1"/>
    <xf numFmtId="3" fontId="0" fillId="0" borderId="1" xfId="0" applyNumberFormat="1" applyBorder="1"/>
    <xf numFmtId="168" fontId="0" fillId="0" borderId="1" xfId="0" applyNumberFormat="1" applyBorder="1"/>
    <xf numFmtId="0" fontId="1" fillId="0" borderId="1" xfId="0" applyFont="1" applyBorder="1" applyAlignment="1">
      <alignment horizontal="right" wrapText="1"/>
    </xf>
    <xf numFmtId="0" fontId="0" fillId="0" borderId="1" xfId="0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/>
    <xf numFmtId="0" fontId="1" fillId="0" borderId="1" xfId="0" applyFont="1" applyBorder="1" applyAlignment="1">
      <alignment horizontal="right" vertical="top" wrapText="1"/>
    </xf>
    <xf numFmtId="3" fontId="0" fillId="0" borderId="1" xfId="0" applyNumberFormat="1" applyBorder="1" applyAlignment="1"/>
    <xf numFmtId="3" fontId="0" fillId="0" borderId="1" xfId="0" applyNumberFormat="1" applyBorder="1" applyAlignment="1">
      <alignment horizontal="right"/>
    </xf>
    <xf numFmtId="0" fontId="1" fillId="0" borderId="0" xfId="0" applyFont="1" applyBorder="1" applyAlignment="1">
      <alignment horizontal="right" wrapText="1"/>
    </xf>
    <xf numFmtId="0" fontId="0" fillId="0" borderId="0" xfId="0" applyBorder="1" applyAlignment="1"/>
    <xf numFmtId="3" fontId="0" fillId="0" borderId="0" xfId="0" applyNumberFormat="1" applyBorder="1" applyAlignment="1"/>
    <xf numFmtId="3" fontId="0" fillId="0" borderId="0" xfId="0" applyNumberFormat="1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168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F1D7-7ED2-49F5-89A0-9F78DA9EF97F}">
  <dimension ref="A1:E33"/>
  <sheetViews>
    <sheetView rightToLeft="1" tabSelected="1" workbookViewId="0">
      <selection activeCell="F1" sqref="F1"/>
    </sheetView>
  </sheetViews>
  <sheetFormatPr defaultRowHeight="13.8" x14ac:dyDescent="0.25"/>
  <sheetData>
    <row r="1" spans="1:5" ht="27.6" x14ac:dyDescent="0.25">
      <c r="A1" s="7" t="s">
        <v>8</v>
      </c>
      <c r="B1" s="7" t="s">
        <v>9</v>
      </c>
      <c r="C1" s="7" t="s">
        <v>10</v>
      </c>
      <c r="D1" s="7" t="s">
        <v>11</v>
      </c>
    </row>
    <row r="2" spans="1:5" x14ac:dyDescent="0.25">
      <c r="A2" s="8">
        <v>1</v>
      </c>
      <c r="B2" s="9">
        <v>12511</v>
      </c>
      <c r="C2" s="10">
        <v>15.773559300000001</v>
      </c>
      <c r="D2" s="11">
        <v>12</v>
      </c>
    </row>
    <row r="3" spans="1:5" x14ac:dyDescent="0.25">
      <c r="A3" s="8">
        <v>2</v>
      </c>
      <c r="B3" s="9">
        <v>33274</v>
      </c>
      <c r="C3" s="10">
        <v>15.2875218</v>
      </c>
      <c r="D3" s="11">
        <v>12</v>
      </c>
    </row>
    <row r="4" spans="1:5" x14ac:dyDescent="0.25">
      <c r="A4" s="8">
        <v>3</v>
      </c>
      <c r="B4" s="9">
        <v>37315</v>
      </c>
      <c r="C4" s="10">
        <v>16.195819400000001</v>
      </c>
      <c r="D4" s="11">
        <v>13</v>
      </c>
    </row>
    <row r="5" spans="1:5" x14ac:dyDescent="0.25">
      <c r="A5" s="8">
        <v>4</v>
      </c>
      <c r="B5" s="9">
        <v>21179</v>
      </c>
      <c r="C5" s="10">
        <v>15.893196100000001</v>
      </c>
      <c r="D5" s="11">
        <v>12</v>
      </c>
    </row>
    <row r="6" spans="1:5" x14ac:dyDescent="0.25">
      <c r="A6" s="8">
        <v>5</v>
      </c>
      <c r="B6" s="9">
        <v>10410</v>
      </c>
      <c r="C6" s="10">
        <v>15.3496638</v>
      </c>
      <c r="D6" s="11">
        <v>12</v>
      </c>
    </row>
    <row r="8" spans="1:5" ht="27.6" x14ac:dyDescent="0.25">
      <c r="A8" s="7" t="s">
        <v>12</v>
      </c>
      <c r="B8" s="7" t="s">
        <v>13</v>
      </c>
      <c r="C8" s="7" t="s">
        <v>9</v>
      </c>
      <c r="D8" s="7" t="s">
        <v>10</v>
      </c>
      <c r="E8" s="7" t="s">
        <v>11</v>
      </c>
    </row>
    <row r="9" spans="1:5" x14ac:dyDescent="0.25">
      <c r="A9" s="8">
        <v>1</v>
      </c>
      <c r="B9" s="8">
        <v>2</v>
      </c>
      <c r="C9" s="12">
        <v>6738</v>
      </c>
      <c r="D9" s="10">
        <v>14.665331</v>
      </c>
      <c r="E9" s="11">
        <v>11</v>
      </c>
    </row>
    <row r="10" spans="1:5" x14ac:dyDescent="0.25">
      <c r="A10" s="8">
        <v>1</v>
      </c>
      <c r="B10" s="8">
        <v>3</v>
      </c>
      <c r="C10" s="12">
        <v>3923</v>
      </c>
      <c r="D10" s="10">
        <v>16.808055100000001</v>
      </c>
      <c r="E10" s="11">
        <v>13</v>
      </c>
    </row>
    <row r="11" spans="1:5" x14ac:dyDescent="0.25">
      <c r="A11" s="8">
        <v>1</v>
      </c>
      <c r="B11" s="8">
        <v>4</v>
      </c>
      <c r="C11" s="12">
        <v>1091</v>
      </c>
      <c r="D11" s="10">
        <v>17.843263100000001</v>
      </c>
      <c r="E11" s="11">
        <v>14</v>
      </c>
    </row>
    <row r="12" spans="1:5" x14ac:dyDescent="0.25">
      <c r="A12" s="8">
        <v>1</v>
      </c>
      <c r="B12" s="8">
        <v>5</v>
      </c>
      <c r="C12" s="12">
        <v>338</v>
      </c>
      <c r="D12" s="10">
        <v>18.5266272</v>
      </c>
      <c r="E12" s="11">
        <v>15</v>
      </c>
    </row>
    <row r="13" spans="1:5" x14ac:dyDescent="0.25">
      <c r="A13" s="8">
        <v>1</v>
      </c>
      <c r="B13" s="8">
        <v>6</v>
      </c>
      <c r="C13" s="12">
        <v>421</v>
      </c>
      <c r="D13" s="10">
        <v>16.2969121</v>
      </c>
      <c r="E13" s="11">
        <v>12</v>
      </c>
    </row>
    <row r="14" spans="1:5" x14ac:dyDescent="0.25">
      <c r="A14" s="8">
        <v>2</v>
      </c>
      <c r="B14" s="8">
        <v>3</v>
      </c>
      <c r="C14" s="12">
        <v>21568</v>
      </c>
      <c r="D14" s="10">
        <v>15.4910052</v>
      </c>
      <c r="E14" s="11">
        <v>12</v>
      </c>
    </row>
    <row r="15" spans="1:5" x14ac:dyDescent="0.25">
      <c r="A15" s="8">
        <v>2</v>
      </c>
      <c r="B15" s="8">
        <v>4</v>
      </c>
      <c r="C15" s="12">
        <v>6484</v>
      </c>
      <c r="D15" s="10">
        <v>16.0567551</v>
      </c>
      <c r="E15" s="11">
        <v>13</v>
      </c>
    </row>
    <row r="16" spans="1:5" x14ac:dyDescent="0.25">
      <c r="A16" s="8">
        <v>2</v>
      </c>
      <c r="B16" s="8">
        <v>5</v>
      </c>
      <c r="C16" s="12">
        <v>2876</v>
      </c>
      <c r="D16" s="10">
        <v>13.1043115</v>
      </c>
      <c r="E16" s="11">
        <v>9</v>
      </c>
    </row>
    <row r="17" spans="1:5" x14ac:dyDescent="0.25">
      <c r="A17" s="8">
        <v>2</v>
      </c>
      <c r="B17" s="8">
        <v>6</v>
      </c>
      <c r="C17" s="12">
        <v>2346</v>
      </c>
      <c r="D17" s="10">
        <v>13.967178199999999</v>
      </c>
      <c r="E17" s="11">
        <v>10</v>
      </c>
    </row>
    <row r="18" spans="1:5" x14ac:dyDescent="0.25">
      <c r="A18" s="8">
        <v>3</v>
      </c>
      <c r="B18" s="8">
        <v>4</v>
      </c>
      <c r="C18" s="12">
        <v>22633</v>
      </c>
      <c r="D18" s="10">
        <v>16.971590200000001</v>
      </c>
      <c r="E18" s="11">
        <v>14</v>
      </c>
    </row>
    <row r="19" spans="1:5" x14ac:dyDescent="0.25">
      <c r="A19" s="8">
        <v>3</v>
      </c>
      <c r="B19" s="8">
        <v>5</v>
      </c>
      <c r="C19" s="12">
        <v>6085</v>
      </c>
      <c r="D19" s="10">
        <v>16.111257200000001</v>
      </c>
      <c r="E19" s="11">
        <v>13</v>
      </c>
    </row>
    <row r="20" spans="1:5" x14ac:dyDescent="0.25">
      <c r="A20" s="8">
        <v>3</v>
      </c>
      <c r="B20" s="8">
        <v>6</v>
      </c>
      <c r="C20" s="12">
        <v>8597</v>
      </c>
      <c r="D20" s="10">
        <v>14.2133302</v>
      </c>
      <c r="E20" s="11">
        <v>10</v>
      </c>
    </row>
    <row r="21" spans="1:5" x14ac:dyDescent="0.25">
      <c r="A21" s="8">
        <v>4</v>
      </c>
      <c r="B21" s="8">
        <v>5</v>
      </c>
      <c r="C21" s="12">
        <v>10881</v>
      </c>
      <c r="D21" s="10">
        <v>16.670067100000001</v>
      </c>
      <c r="E21" s="11">
        <v>13</v>
      </c>
    </row>
    <row r="22" spans="1:5" x14ac:dyDescent="0.25">
      <c r="A22" s="8">
        <v>4</v>
      </c>
      <c r="B22" s="8">
        <v>6</v>
      </c>
      <c r="C22" s="12">
        <v>10298</v>
      </c>
      <c r="D22" s="10">
        <v>15.0723441</v>
      </c>
      <c r="E22" s="11">
        <v>11</v>
      </c>
    </row>
    <row r="23" spans="1:5" x14ac:dyDescent="0.25">
      <c r="A23" s="8">
        <v>5</v>
      </c>
      <c r="B23" s="8">
        <v>6</v>
      </c>
      <c r="C23" s="12">
        <v>10410</v>
      </c>
      <c r="D23" s="10">
        <v>15.3496638</v>
      </c>
      <c r="E23" s="11">
        <v>12</v>
      </c>
    </row>
    <row r="25" spans="1:5" ht="41.4" x14ac:dyDescent="0.25">
      <c r="A25" s="7" t="s">
        <v>14</v>
      </c>
      <c r="B25" s="7" t="s">
        <v>9</v>
      </c>
      <c r="C25" s="7" t="s">
        <v>10</v>
      </c>
      <c r="D25" s="7" t="s">
        <v>11</v>
      </c>
    </row>
    <row r="26" spans="1:5" x14ac:dyDescent="0.25">
      <c r="A26" s="8">
        <v>1</v>
      </c>
      <c r="B26" s="12">
        <v>72230</v>
      </c>
      <c r="C26" s="10">
        <v>16.0351654</v>
      </c>
      <c r="D26" s="11">
        <v>13</v>
      </c>
    </row>
    <row r="27" spans="1:5" x14ac:dyDescent="0.25">
      <c r="A27" s="8">
        <v>2</v>
      </c>
      <c r="B27" s="12">
        <v>26790</v>
      </c>
      <c r="C27" s="10">
        <v>15.800746500000001</v>
      </c>
      <c r="D27" s="11">
        <v>12</v>
      </c>
    </row>
    <row r="28" spans="1:5" x14ac:dyDescent="0.25">
      <c r="A28" s="8">
        <v>3</v>
      </c>
      <c r="B28" s="12">
        <v>12564</v>
      </c>
      <c r="C28" s="10">
        <v>14.274673699999999</v>
      </c>
      <c r="D28" s="11">
        <v>10</v>
      </c>
    </row>
    <row r="29" spans="1:5" x14ac:dyDescent="0.25">
      <c r="A29" s="8">
        <v>4</v>
      </c>
      <c r="B29" s="12">
        <v>2684</v>
      </c>
      <c r="C29" s="10">
        <v>14.541356199999999</v>
      </c>
      <c r="D29" s="11">
        <v>11</v>
      </c>
    </row>
    <row r="30" spans="1:5" x14ac:dyDescent="0.25">
      <c r="A30" s="8">
        <v>5</v>
      </c>
      <c r="B30" s="12">
        <v>421</v>
      </c>
      <c r="C30" s="10">
        <v>16.2969121</v>
      </c>
      <c r="D30" s="11">
        <v>12</v>
      </c>
    </row>
    <row r="33" ht="13.8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1DD8-8FDA-447B-B921-C69765BF76AE}">
  <dimension ref="A1:D58"/>
  <sheetViews>
    <sheetView rightToLeft="1" workbookViewId="0">
      <selection activeCell="F1" sqref="F1"/>
    </sheetView>
  </sheetViews>
  <sheetFormatPr defaultRowHeight="13.8" x14ac:dyDescent="0.25"/>
  <sheetData>
    <row r="1" spans="1:4" ht="27.6" x14ac:dyDescent="0.25">
      <c r="A1" s="7" t="s">
        <v>8</v>
      </c>
      <c r="B1" s="7" t="s">
        <v>9</v>
      </c>
      <c r="C1" s="7" t="s">
        <v>15</v>
      </c>
    </row>
    <row r="2" spans="1:4" x14ac:dyDescent="0.25">
      <c r="A2" s="8">
        <v>1</v>
      </c>
      <c r="B2" s="12">
        <v>12511</v>
      </c>
      <c r="C2" s="13">
        <v>0.65494359999999996</v>
      </c>
    </row>
    <row r="3" spans="1:4" x14ac:dyDescent="0.25">
      <c r="A3" s="8">
        <v>2</v>
      </c>
      <c r="B3" s="12">
        <v>33274</v>
      </c>
      <c r="C3" s="13">
        <v>0.63166440000000001</v>
      </c>
    </row>
    <row r="4" spans="1:4" x14ac:dyDescent="0.25">
      <c r="A4" s="8">
        <v>3</v>
      </c>
      <c r="B4" s="12">
        <v>37315</v>
      </c>
      <c r="C4" s="13">
        <v>0.62226990000000004</v>
      </c>
    </row>
    <row r="5" spans="1:4" x14ac:dyDescent="0.25">
      <c r="A5" s="8">
        <v>4</v>
      </c>
      <c r="B5" s="12">
        <v>21179</v>
      </c>
      <c r="C5" s="13">
        <v>0.55059259999999999</v>
      </c>
    </row>
    <row r="6" spans="1:4" x14ac:dyDescent="0.25">
      <c r="A6" s="8">
        <v>5</v>
      </c>
      <c r="B6" s="12">
        <v>10410</v>
      </c>
      <c r="C6" s="13">
        <v>0.52017290000000005</v>
      </c>
    </row>
    <row r="8" spans="1:4" ht="27.6" x14ac:dyDescent="0.25">
      <c r="A8" s="7" t="s">
        <v>12</v>
      </c>
      <c r="B8" s="7" t="s">
        <v>13</v>
      </c>
      <c r="C8" s="7" t="s">
        <v>9</v>
      </c>
      <c r="D8" s="7" t="s">
        <v>15</v>
      </c>
    </row>
    <row r="9" spans="1:4" x14ac:dyDescent="0.25">
      <c r="A9" s="8">
        <v>1</v>
      </c>
      <c r="B9" s="8">
        <v>2</v>
      </c>
      <c r="C9" s="12">
        <v>6738</v>
      </c>
      <c r="D9" s="13">
        <v>0.67675870000000005</v>
      </c>
    </row>
    <row r="10" spans="1:4" x14ac:dyDescent="0.25">
      <c r="A10" s="8">
        <v>1</v>
      </c>
      <c r="B10" s="8">
        <v>3</v>
      </c>
      <c r="C10" s="12">
        <v>3923</v>
      </c>
      <c r="D10" s="13">
        <v>0.65613049999999995</v>
      </c>
    </row>
    <row r="11" spans="1:4" x14ac:dyDescent="0.25">
      <c r="A11" s="8">
        <v>1</v>
      </c>
      <c r="B11" s="8">
        <v>4</v>
      </c>
      <c r="C11" s="12">
        <v>1091</v>
      </c>
      <c r="D11" s="13">
        <v>0.59761690000000001</v>
      </c>
    </row>
    <row r="12" spans="1:4" x14ac:dyDescent="0.25">
      <c r="A12" s="8">
        <v>1</v>
      </c>
      <c r="B12" s="8">
        <v>5</v>
      </c>
      <c r="C12" s="12">
        <v>338</v>
      </c>
      <c r="D12" s="13">
        <v>0.51775150000000003</v>
      </c>
    </row>
    <row r="13" spans="1:4" x14ac:dyDescent="0.25">
      <c r="A13" s="8">
        <v>1</v>
      </c>
      <c r="B13" s="8">
        <v>6</v>
      </c>
      <c r="C13" s="12">
        <v>421</v>
      </c>
      <c r="D13" s="13">
        <v>0.55344420000000005</v>
      </c>
    </row>
    <row r="14" spans="1:4" x14ac:dyDescent="0.25">
      <c r="A14" s="8">
        <v>2</v>
      </c>
      <c r="B14" s="8">
        <v>3</v>
      </c>
      <c r="C14" s="12">
        <v>21568</v>
      </c>
      <c r="D14" s="13">
        <v>0.65847549999999999</v>
      </c>
    </row>
    <row r="15" spans="1:4" x14ac:dyDescent="0.25">
      <c r="A15" s="8">
        <v>2</v>
      </c>
      <c r="B15" s="8">
        <v>4</v>
      </c>
      <c r="C15" s="12">
        <v>6484</v>
      </c>
      <c r="D15" s="13">
        <v>0.61536089999999999</v>
      </c>
    </row>
    <row r="16" spans="1:4" x14ac:dyDescent="0.25">
      <c r="A16" s="8">
        <v>2</v>
      </c>
      <c r="B16" s="8">
        <v>5</v>
      </c>
      <c r="C16" s="12">
        <v>2876</v>
      </c>
      <c r="D16" s="13">
        <v>0.54068150000000004</v>
      </c>
    </row>
    <row r="17" spans="1:4" x14ac:dyDescent="0.25">
      <c r="A17" s="8">
        <v>2</v>
      </c>
      <c r="B17" s="8">
        <v>6</v>
      </c>
      <c r="C17" s="12">
        <v>2346</v>
      </c>
      <c r="D17" s="13">
        <v>0.54177319999999995</v>
      </c>
    </row>
    <row r="18" spans="1:4" x14ac:dyDescent="0.25">
      <c r="A18" s="8">
        <v>3</v>
      </c>
      <c r="B18" s="8">
        <v>4</v>
      </c>
      <c r="C18" s="12">
        <v>22633</v>
      </c>
      <c r="D18" s="13">
        <v>0.63142310000000001</v>
      </c>
    </row>
    <row r="19" spans="1:4" x14ac:dyDescent="0.25">
      <c r="A19" s="8">
        <v>3</v>
      </c>
      <c r="B19" s="8">
        <v>5</v>
      </c>
      <c r="C19" s="12">
        <v>6085</v>
      </c>
      <c r="D19" s="13">
        <v>0.60443709999999995</v>
      </c>
    </row>
    <row r="20" spans="1:4" x14ac:dyDescent="0.25">
      <c r="A20" s="8">
        <v>3</v>
      </c>
      <c r="B20" s="8">
        <v>6</v>
      </c>
      <c r="C20" s="12">
        <v>8597</v>
      </c>
      <c r="D20" s="13">
        <v>0.61079450000000002</v>
      </c>
    </row>
    <row r="21" spans="1:4" x14ac:dyDescent="0.25">
      <c r="A21" s="8">
        <v>4</v>
      </c>
      <c r="B21" s="8">
        <v>5</v>
      </c>
      <c r="C21" s="12">
        <v>10881</v>
      </c>
      <c r="D21" s="13">
        <v>0.5730172</v>
      </c>
    </row>
    <row r="22" spans="1:4" x14ac:dyDescent="0.25">
      <c r="A22" s="8">
        <v>4</v>
      </c>
      <c r="B22" s="8">
        <v>6</v>
      </c>
      <c r="C22" s="12">
        <v>10298</v>
      </c>
      <c r="D22" s="13">
        <v>0.52689839999999999</v>
      </c>
    </row>
    <row r="23" spans="1:4" x14ac:dyDescent="0.25">
      <c r="A23" s="8">
        <v>5</v>
      </c>
      <c r="B23" s="8">
        <v>6</v>
      </c>
      <c r="C23" s="12">
        <v>10410</v>
      </c>
      <c r="D23" s="13">
        <v>0.52017290000000005</v>
      </c>
    </row>
    <row r="25" spans="1:4" ht="41.4" x14ac:dyDescent="0.25">
      <c r="A25" s="7" t="s">
        <v>14</v>
      </c>
      <c r="B25" s="7" t="s">
        <v>9</v>
      </c>
      <c r="C25" s="7" t="s">
        <v>15</v>
      </c>
    </row>
    <row r="26" spans="1:4" x14ac:dyDescent="0.25">
      <c r="A26" s="8">
        <v>1</v>
      </c>
      <c r="B26" s="12">
        <v>72230</v>
      </c>
      <c r="C26" s="13">
        <v>0.61889799999999995</v>
      </c>
    </row>
    <row r="27" spans="1:4" x14ac:dyDescent="0.25">
      <c r="A27" s="8">
        <v>2</v>
      </c>
      <c r="B27" s="12">
        <v>26790</v>
      </c>
      <c r="C27" s="13">
        <v>0.58484510000000001</v>
      </c>
    </row>
    <row r="28" spans="1:4" x14ac:dyDescent="0.25">
      <c r="A28" s="8">
        <v>3</v>
      </c>
      <c r="B28" s="12">
        <v>12564</v>
      </c>
      <c r="C28" s="13">
        <v>0.59360080000000004</v>
      </c>
    </row>
    <row r="29" spans="1:4" x14ac:dyDescent="0.25">
      <c r="A29" s="8">
        <v>4</v>
      </c>
      <c r="B29" s="12">
        <v>2684</v>
      </c>
      <c r="C29" s="13">
        <v>0.53874809999999995</v>
      </c>
    </row>
    <row r="30" spans="1:4" x14ac:dyDescent="0.25">
      <c r="A30" s="8">
        <v>5</v>
      </c>
      <c r="B30" s="12">
        <v>421</v>
      </c>
      <c r="C30" s="13">
        <v>0.55344420000000005</v>
      </c>
    </row>
    <row r="32" spans="1:4" ht="13.8" customHeight="1" x14ac:dyDescent="0.25"/>
    <row r="40" ht="13.8" customHeight="1" x14ac:dyDescent="0.25"/>
    <row r="58" ht="13.8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1EFA-913D-4379-AF7E-A5C8B3680918}">
  <dimension ref="A1:E30"/>
  <sheetViews>
    <sheetView rightToLeft="1" workbookViewId="0">
      <selection activeCell="G1" sqref="G1"/>
    </sheetView>
  </sheetViews>
  <sheetFormatPr defaultRowHeight="13.8" x14ac:dyDescent="0.25"/>
  <sheetData>
    <row r="1" spans="1:5" ht="27.6" x14ac:dyDescent="0.25">
      <c r="A1" s="7" t="s">
        <v>8</v>
      </c>
      <c r="B1" s="7" t="s">
        <v>9</v>
      </c>
      <c r="C1" s="7" t="s">
        <v>16</v>
      </c>
      <c r="D1" s="7" t="s">
        <v>17</v>
      </c>
    </row>
    <row r="2" spans="1:5" x14ac:dyDescent="0.25">
      <c r="A2" s="8">
        <v>1</v>
      </c>
      <c r="B2" s="12">
        <v>12511</v>
      </c>
      <c r="C2" s="10">
        <v>77.928602799999993</v>
      </c>
      <c r="D2" s="10">
        <v>78</v>
      </c>
    </row>
    <row r="3" spans="1:5" x14ac:dyDescent="0.25">
      <c r="A3" s="8">
        <v>2</v>
      </c>
      <c r="B3" s="12">
        <v>33274</v>
      </c>
      <c r="C3" s="10">
        <v>79.241449799999998</v>
      </c>
      <c r="D3" s="10">
        <v>79.583333300000007</v>
      </c>
    </row>
    <row r="4" spans="1:5" x14ac:dyDescent="0.25">
      <c r="A4" s="8">
        <v>3</v>
      </c>
      <c r="B4" s="12">
        <v>37315</v>
      </c>
      <c r="C4" s="10">
        <v>81.491082700000007</v>
      </c>
      <c r="D4" s="10">
        <v>82.25</v>
      </c>
    </row>
    <row r="5" spans="1:5" x14ac:dyDescent="0.25">
      <c r="A5" s="8">
        <v>4</v>
      </c>
      <c r="B5" s="12">
        <v>21179</v>
      </c>
      <c r="C5" s="10">
        <v>83.381879799999993</v>
      </c>
      <c r="D5" s="10">
        <v>84.333333300000007</v>
      </c>
    </row>
    <row r="6" spans="1:5" x14ac:dyDescent="0.25">
      <c r="A6" s="8">
        <v>5</v>
      </c>
      <c r="B6" s="12">
        <v>10410</v>
      </c>
      <c r="C6" s="10">
        <v>83.525184100000004</v>
      </c>
      <c r="D6" s="10">
        <v>84.333333300000007</v>
      </c>
    </row>
    <row r="8" spans="1:5" ht="27.6" x14ac:dyDescent="0.25">
      <c r="A8" s="7" t="s">
        <v>12</v>
      </c>
      <c r="B8" s="7" t="s">
        <v>13</v>
      </c>
      <c r="C8" s="7" t="s">
        <v>9</v>
      </c>
      <c r="D8" s="7" t="s">
        <v>16</v>
      </c>
      <c r="E8" s="7" t="s">
        <v>17</v>
      </c>
    </row>
    <row r="9" spans="1:5" x14ac:dyDescent="0.25">
      <c r="A9" s="8">
        <v>1</v>
      </c>
      <c r="B9" s="8">
        <v>2</v>
      </c>
      <c r="C9" s="12">
        <v>6738</v>
      </c>
      <c r="D9" s="10">
        <v>76.738733100000005</v>
      </c>
      <c r="E9" s="10">
        <v>76.75</v>
      </c>
    </row>
    <row r="10" spans="1:5" x14ac:dyDescent="0.25">
      <c r="A10" s="8">
        <v>1</v>
      </c>
      <c r="B10" s="8">
        <v>3</v>
      </c>
      <c r="C10" s="12">
        <v>3923</v>
      </c>
      <c r="D10" s="10">
        <v>78.828426399999998</v>
      </c>
      <c r="E10" s="10">
        <v>79.166666699999993</v>
      </c>
    </row>
    <row r="11" spans="1:5" x14ac:dyDescent="0.25">
      <c r="A11" s="8">
        <v>1</v>
      </c>
      <c r="B11" s="8">
        <v>4</v>
      </c>
      <c r="C11" s="12">
        <v>1091</v>
      </c>
      <c r="D11" s="10">
        <v>80.357852100000002</v>
      </c>
      <c r="E11" s="10">
        <v>80.833333300000007</v>
      </c>
    </row>
    <row r="12" spans="1:5" x14ac:dyDescent="0.25">
      <c r="A12" s="8">
        <v>1</v>
      </c>
      <c r="B12" s="8">
        <v>5</v>
      </c>
      <c r="C12" s="12">
        <v>338</v>
      </c>
      <c r="D12" s="10">
        <v>81.469674600000005</v>
      </c>
      <c r="E12" s="10">
        <v>81.791666699999993</v>
      </c>
    </row>
    <row r="13" spans="1:5" x14ac:dyDescent="0.25">
      <c r="A13" s="8">
        <v>1</v>
      </c>
      <c r="B13" s="8">
        <v>6</v>
      </c>
      <c r="C13" s="12">
        <v>421</v>
      </c>
      <c r="D13" s="10">
        <v>79.449129099999993</v>
      </c>
      <c r="E13" s="10">
        <v>79.5</v>
      </c>
    </row>
    <row r="14" spans="1:5" x14ac:dyDescent="0.25">
      <c r="A14" s="8">
        <v>2</v>
      </c>
      <c r="B14" s="8">
        <v>3</v>
      </c>
      <c r="C14" s="12">
        <v>21568</v>
      </c>
      <c r="D14" s="10">
        <v>78.643441699999997</v>
      </c>
      <c r="E14" s="10">
        <v>78.916666699999993</v>
      </c>
    </row>
    <row r="15" spans="1:5" x14ac:dyDescent="0.25">
      <c r="A15" s="8">
        <v>2</v>
      </c>
      <c r="B15" s="8">
        <v>4</v>
      </c>
      <c r="C15" s="12">
        <v>6484</v>
      </c>
      <c r="D15" s="10">
        <v>80.641810599999999</v>
      </c>
      <c r="E15" s="10">
        <v>81.166666699999993</v>
      </c>
    </row>
    <row r="16" spans="1:5" x14ac:dyDescent="0.25">
      <c r="A16" s="8">
        <v>2</v>
      </c>
      <c r="B16" s="8">
        <v>5</v>
      </c>
      <c r="C16" s="12">
        <v>2876</v>
      </c>
      <c r="D16" s="10">
        <v>80.363786500000003</v>
      </c>
      <c r="E16" s="10">
        <v>80.75</v>
      </c>
    </row>
    <row r="17" spans="1:5" x14ac:dyDescent="0.25">
      <c r="A17" s="8">
        <v>2</v>
      </c>
      <c r="B17" s="8">
        <v>6</v>
      </c>
      <c r="C17" s="12">
        <v>2346</v>
      </c>
      <c r="D17" s="10">
        <v>79.492966800000005</v>
      </c>
      <c r="E17" s="10">
        <v>79.583333300000007</v>
      </c>
    </row>
    <row r="18" spans="1:5" x14ac:dyDescent="0.25">
      <c r="A18" s="8">
        <v>3</v>
      </c>
      <c r="B18" s="8">
        <v>4</v>
      </c>
      <c r="C18" s="12">
        <v>22633</v>
      </c>
      <c r="D18" s="10">
        <v>81.234307599999994</v>
      </c>
      <c r="E18" s="10">
        <v>82</v>
      </c>
    </row>
    <row r="19" spans="1:5" x14ac:dyDescent="0.25">
      <c r="A19" s="8">
        <v>3</v>
      </c>
      <c r="B19" s="8">
        <v>5</v>
      </c>
      <c r="C19" s="12">
        <v>6085</v>
      </c>
      <c r="D19" s="10">
        <v>82.629074200000005</v>
      </c>
      <c r="E19" s="10">
        <v>83.583333300000007</v>
      </c>
    </row>
    <row r="20" spans="1:5" x14ac:dyDescent="0.25">
      <c r="A20" s="8">
        <v>3</v>
      </c>
      <c r="B20" s="8">
        <v>6</v>
      </c>
      <c r="C20" s="12">
        <v>8597</v>
      </c>
      <c r="D20" s="10">
        <v>81.361608700000005</v>
      </c>
      <c r="E20" s="10">
        <v>82.083333300000007</v>
      </c>
    </row>
    <row r="21" spans="1:5" x14ac:dyDescent="0.25">
      <c r="A21" s="8">
        <v>4</v>
      </c>
      <c r="B21" s="8">
        <v>5</v>
      </c>
      <c r="C21" s="12">
        <v>10881</v>
      </c>
      <c r="D21" s="10">
        <v>83.677725699999996</v>
      </c>
      <c r="E21" s="10">
        <v>84.666666699999993</v>
      </c>
    </row>
    <row r="22" spans="1:5" x14ac:dyDescent="0.25">
      <c r="A22" s="8">
        <v>4</v>
      </c>
      <c r="B22" s="8">
        <v>6</v>
      </c>
      <c r="C22" s="12">
        <v>10298</v>
      </c>
      <c r="D22" s="10">
        <v>83.069285300000004</v>
      </c>
      <c r="E22" s="10">
        <v>83.916666699999993</v>
      </c>
    </row>
    <row r="23" spans="1:5" x14ac:dyDescent="0.25">
      <c r="A23" s="8">
        <v>5</v>
      </c>
      <c r="B23" s="8">
        <v>6</v>
      </c>
      <c r="C23" s="12">
        <v>10410</v>
      </c>
      <c r="D23" s="10">
        <v>83.525184100000004</v>
      </c>
      <c r="E23" s="10">
        <v>84.333333300000007</v>
      </c>
    </row>
    <row r="25" spans="1:5" ht="41.4" x14ac:dyDescent="0.25">
      <c r="A25" s="7" t="s">
        <v>14</v>
      </c>
      <c r="B25" s="7" t="s">
        <v>9</v>
      </c>
      <c r="C25" s="7" t="s">
        <v>16</v>
      </c>
      <c r="D25" s="7" t="s">
        <v>17</v>
      </c>
    </row>
    <row r="26" spans="1:5" x14ac:dyDescent="0.25">
      <c r="A26" s="8">
        <v>1</v>
      </c>
      <c r="B26" s="12">
        <v>72230</v>
      </c>
      <c r="C26" s="10">
        <v>80.739553000000001</v>
      </c>
      <c r="D26" s="10">
        <v>81.166666699999993</v>
      </c>
    </row>
    <row r="27" spans="1:5" x14ac:dyDescent="0.25">
      <c r="A27" s="8">
        <v>2</v>
      </c>
      <c r="B27" s="12">
        <v>26790</v>
      </c>
      <c r="C27" s="10">
        <v>81.760762700000001</v>
      </c>
      <c r="D27" s="10">
        <v>82.5</v>
      </c>
    </row>
    <row r="28" spans="1:5" x14ac:dyDescent="0.25">
      <c r="A28" s="8">
        <v>3</v>
      </c>
      <c r="B28" s="12">
        <v>12564</v>
      </c>
      <c r="C28" s="10">
        <v>81.046037600000005</v>
      </c>
      <c r="D28" s="10">
        <v>81.666666699999993</v>
      </c>
    </row>
    <row r="29" spans="1:5" x14ac:dyDescent="0.25">
      <c r="A29" s="8">
        <v>4</v>
      </c>
      <c r="B29" s="12">
        <v>2684</v>
      </c>
      <c r="C29" s="10">
        <v>79.741896400000002</v>
      </c>
      <c r="D29" s="10">
        <v>80</v>
      </c>
    </row>
    <row r="30" spans="1:5" x14ac:dyDescent="0.25">
      <c r="A30" s="8">
        <v>5</v>
      </c>
      <c r="B30" s="12">
        <v>421</v>
      </c>
      <c r="C30" s="10">
        <v>79.449129099999993</v>
      </c>
      <c r="D30" s="10">
        <v>79.5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AAF3-D161-4E06-A27D-6CCF6DAC14DD}">
  <dimension ref="A1:O111"/>
  <sheetViews>
    <sheetView rightToLeft="1" workbookViewId="0">
      <selection activeCell="F1" sqref="F1"/>
    </sheetView>
  </sheetViews>
  <sheetFormatPr defaultRowHeight="13.8" x14ac:dyDescent="0.25"/>
  <cols>
    <col min="1" max="1" width="8.19921875" bestFit="1" customWidth="1"/>
    <col min="2" max="4" width="7.3984375" bestFit="1" customWidth="1"/>
    <col min="5" max="5" width="15.09765625" bestFit="1" customWidth="1"/>
  </cols>
  <sheetData>
    <row r="1" spans="1:15" ht="13.8" customHeight="1" x14ac:dyDescent="0.25">
      <c r="A1" s="15"/>
      <c r="B1" s="15" t="s">
        <v>18</v>
      </c>
      <c r="C1" s="15"/>
      <c r="D1" s="16" t="s">
        <v>5</v>
      </c>
      <c r="E1" s="37" t="s">
        <v>27</v>
      </c>
      <c r="G1" s="15"/>
      <c r="H1" s="15" t="s">
        <v>24</v>
      </c>
      <c r="I1" s="15"/>
      <c r="J1" s="15"/>
      <c r="K1" s="15"/>
      <c r="L1" s="15"/>
      <c r="M1" s="15"/>
      <c r="N1" s="16" t="s">
        <v>5</v>
      </c>
      <c r="O1" s="23"/>
    </row>
    <row r="2" spans="1:15" x14ac:dyDescent="0.25">
      <c r="A2" s="15"/>
      <c r="B2" s="17" t="s">
        <v>25</v>
      </c>
      <c r="C2" s="17" t="s">
        <v>26</v>
      </c>
      <c r="D2" s="16"/>
      <c r="E2" s="38"/>
      <c r="G2" s="15"/>
      <c r="H2" s="36">
        <v>0</v>
      </c>
      <c r="I2" s="36">
        <v>1</v>
      </c>
      <c r="J2" s="36">
        <v>2</v>
      </c>
      <c r="K2" s="36">
        <v>3</v>
      </c>
      <c r="L2" s="36">
        <v>4</v>
      </c>
      <c r="M2" s="36">
        <v>5</v>
      </c>
      <c r="N2" s="16"/>
      <c r="O2" s="23"/>
    </row>
    <row r="3" spans="1:15" x14ac:dyDescent="0.25">
      <c r="A3" s="20" t="s">
        <v>8</v>
      </c>
      <c r="B3" s="19"/>
      <c r="C3" s="19"/>
      <c r="D3" s="19"/>
      <c r="E3" s="19"/>
      <c r="G3" s="20" t="s">
        <v>8</v>
      </c>
      <c r="H3" s="19"/>
      <c r="I3" s="19"/>
      <c r="J3" s="19"/>
      <c r="K3" s="19"/>
      <c r="L3" s="19"/>
      <c r="M3" s="19"/>
      <c r="N3" s="19"/>
      <c r="O3" s="24"/>
    </row>
    <row r="4" spans="1:15" x14ac:dyDescent="0.25">
      <c r="A4" s="18">
        <v>1</v>
      </c>
      <c r="B4" s="21">
        <v>5895</v>
      </c>
      <c r="C4" s="21">
        <v>6616</v>
      </c>
      <c r="D4" s="21">
        <v>12511</v>
      </c>
      <c r="E4" s="39">
        <f>C4/D4</f>
        <v>0.52881464311405968</v>
      </c>
      <c r="G4" s="18">
        <v>1</v>
      </c>
      <c r="H4" s="21">
        <v>5615</v>
      </c>
      <c r="I4" s="21">
        <v>6383</v>
      </c>
      <c r="J4" s="21">
        <v>474</v>
      </c>
      <c r="K4" s="21">
        <v>38</v>
      </c>
      <c r="L4" s="21">
        <v>1</v>
      </c>
      <c r="M4" s="21">
        <v>0</v>
      </c>
      <c r="N4" s="21">
        <v>12511</v>
      </c>
      <c r="O4" s="25"/>
    </row>
    <row r="5" spans="1:15" x14ac:dyDescent="0.25">
      <c r="A5" s="18">
        <v>2</v>
      </c>
      <c r="B5" s="22">
        <v>2435</v>
      </c>
      <c r="C5" s="22">
        <v>30839</v>
      </c>
      <c r="D5" s="22">
        <v>33274</v>
      </c>
      <c r="E5" s="39">
        <f t="shared" ref="E5:E9" si="0">C5/D5</f>
        <v>0.92681973913566151</v>
      </c>
      <c r="G5" s="18">
        <v>2</v>
      </c>
      <c r="H5" s="22">
        <v>1828</v>
      </c>
      <c r="I5" s="22">
        <v>27304</v>
      </c>
      <c r="J5" s="22">
        <v>3767</v>
      </c>
      <c r="K5" s="22">
        <v>355</v>
      </c>
      <c r="L5" s="22">
        <v>20</v>
      </c>
      <c r="M5" s="22">
        <v>0</v>
      </c>
      <c r="N5" s="22">
        <v>33274</v>
      </c>
      <c r="O5" s="26"/>
    </row>
    <row r="6" spans="1:15" x14ac:dyDescent="0.25">
      <c r="A6" s="18">
        <v>3</v>
      </c>
      <c r="B6" s="22">
        <v>2679</v>
      </c>
      <c r="C6" s="22">
        <v>34636</v>
      </c>
      <c r="D6" s="22">
        <v>37315</v>
      </c>
      <c r="E6" s="39">
        <f t="shared" si="0"/>
        <v>0.92820581535575508</v>
      </c>
      <c r="G6" s="18">
        <v>3</v>
      </c>
      <c r="H6" s="22">
        <v>2153</v>
      </c>
      <c r="I6" s="22">
        <v>27265</v>
      </c>
      <c r="J6" s="22">
        <v>6756</v>
      </c>
      <c r="K6" s="22">
        <v>1051</v>
      </c>
      <c r="L6" s="22">
        <v>89</v>
      </c>
      <c r="M6" s="22">
        <v>1</v>
      </c>
      <c r="N6" s="22">
        <v>37315</v>
      </c>
      <c r="O6" s="26"/>
    </row>
    <row r="7" spans="1:15" x14ac:dyDescent="0.25">
      <c r="A7" s="18">
        <v>4</v>
      </c>
      <c r="B7" s="22">
        <v>2156</v>
      </c>
      <c r="C7" s="22">
        <v>19023</v>
      </c>
      <c r="D7" s="22">
        <v>21179</v>
      </c>
      <c r="E7" s="39">
        <f t="shared" si="0"/>
        <v>0.89820104820813074</v>
      </c>
      <c r="G7" s="18">
        <v>4</v>
      </c>
      <c r="H7" s="22">
        <v>1677</v>
      </c>
      <c r="I7" s="22">
        <v>14287</v>
      </c>
      <c r="J7" s="22">
        <v>4436</v>
      </c>
      <c r="K7" s="22">
        <v>726</v>
      </c>
      <c r="L7" s="22">
        <v>53</v>
      </c>
      <c r="M7" s="22">
        <v>0</v>
      </c>
      <c r="N7" s="22">
        <v>21179</v>
      </c>
      <c r="O7" s="26"/>
    </row>
    <row r="8" spans="1:15" x14ac:dyDescent="0.25">
      <c r="A8" s="18">
        <v>5</v>
      </c>
      <c r="B8" s="22">
        <v>1492</v>
      </c>
      <c r="C8" s="22">
        <v>8918</v>
      </c>
      <c r="D8" s="22">
        <v>10410</v>
      </c>
      <c r="E8" s="39">
        <f t="shared" si="0"/>
        <v>0.85667627281460135</v>
      </c>
      <c r="G8" s="18">
        <v>5</v>
      </c>
      <c r="H8" s="22">
        <v>1166</v>
      </c>
      <c r="I8" s="22">
        <v>6510</v>
      </c>
      <c r="J8" s="22">
        <v>2293</v>
      </c>
      <c r="K8" s="22">
        <v>419</v>
      </c>
      <c r="L8" s="22">
        <v>22</v>
      </c>
      <c r="M8" s="22">
        <v>0</v>
      </c>
      <c r="N8" s="22">
        <v>10410</v>
      </c>
      <c r="O8" s="26"/>
    </row>
    <row r="9" spans="1:15" x14ac:dyDescent="0.25">
      <c r="A9" s="20" t="s">
        <v>5</v>
      </c>
      <c r="B9" s="21">
        <v>14657</v>
      </c>
      <c r="C9" s="21">
        <v>100032</v>
      </c>
      <c r="D9" s="21">
        <v>114689</v>
      </c>
      <c r="E9" s="39">
        <f t="shared" si="0"/>
        <v>0.87220221642877693</v>
      </c>
      <c r="G9" s="20" t="s">
        <v>5</v>
      </c>
      <c r="H9" s="21">
        <v>12439</v>
      </c>
      <c r="I9" s="21">
        <v>81749</v>
      </c>
      <c r="J9" s="21">
        <v>17726</v>
      </c>
      <c r="K9" s="21">
        <v>2589</v>
      </c>
      <c r="L9" s="21">
        <v>185</v>
      </c>
      <c r="M9" s="21">
        <v>1</v>
      </c>
      <c r="N9" s="21">
        <v>114689</v>
      </c>
      <c r="O9" s="25"/>
    </row>
    <row r="10" spans="1:15" x14ac:dyDescent="0.25">
      <c r="A10" s="1"/>
      <c r="B10" s="14"/>
      <c r="C10" s="14"/>
      <c r="D10" s="14"/>
      <c r="E10" s="14"/>
      <c r="G10" s="1"/>
      <c r="H10" s="14"/>
      <c r="I10" s="14"/>
      <c r="J10" s="14"/>
      <c r="K10" s="14"/>
      <c r="L10" s="14"/>
      <c r="M10" s="14"/>
      <c r="N10" s="14"/>
      <c r="O10" s="14"/>
    </row>
    <row r="11" spans="1:15" x14ac:dyDescent="0.25">
      <c r="A11" s="2"/>
      <c r="G11" s="15"/>
      <c r="H11" s="15" t="s">
        <v>24</v>
      </c>
      <c r="I11" s="15"/>
      <c r="J11" s="15"/>
      <c r="K11" s="15"/>
      <c r="L11" s="15"/>
      <c r="M11" s="15"/>
      <c r="N11" s="16" t="s">
        <v>5</v>
      </c>
    </row>
    <row r="12" spans="1:15" ht="13.8" customHeight="1" x14ac:dyDescent="0.25">
      <c r="A12" s="15"/>
      <c r="B12" s="15" t="s">
        <v>19</v>
      </c>
      <c r="C12" s="15"/>
      <c r="D12" s="16" t="s">
        <v>5</v>
      </c>
      <c r="E12" s="37" t="s">
        <v>27</v>
      </c>
      <c r="G12" s="15"/>
      <c r="H12" s="36">
        <v>0</v>
      </c>
      <c r="I12" s="36">
        <v>1</v>
      </c>
      <c r="J12" s="36">
        <v>2</v>
      </c>
      <c r="K12" s="36">
        <v>3</v>
      </c>
      <c r="L12" s="36">
        <v>4</v>
      </c>
      <c r="M12" s="36">
        <v>5</v>
      </c>
      <c r="N12" s="16"/>
    </row>
    <row r="13" spans="1:15" ht="13.8" customHeight="1" x14ac:dyDescent="0.25">
      <c r="A13" s="15"/>
      <c r="B13" s="17" t="s">
        <v>25</v>
      </c>
      <c r="C13" s="17" t="s">
        <v>26</v>
      </c>
      <c r="D13" s="16"/>
      <c r="E13" s="38"/>
      <c r="G13" s="20" t="s">
        <v>8</v>
      </c>
      <c r="H13" s="19"/>
      <c r="I13" s="19"/>
      <c r="J13" s="19"/>
      <c r="K13" s="19"/>
      <c r="L13" s="19"/>
      <c r="M13" s="19"/>
      <c r="N13" s="19"/>
    </row>
    <row r="14" spans="1:15" x14ac:dyDescent="0.25">
      <c r="A14" s="20" t="s">
        <v>8</v>
      </c>
      <c r="B14" s="19"/>
      <c r="C14" s="19"/>
      <c r="D14" s="19"/>
      <c r="E14" s="19"/>
      <c r="G14" s="18">
        <v>1</v>
      </c>
      <c r="H14" s="39">
        <f>H4/N4</f>
        <v>0.44880505155463191</v>
      </c>
      <c r="I14" s="39">
        <f>I4/N4</f>
        <v>0.51019103189193504</v>
      </c>
      <c r="J14" s="39">
        <f>J4/N4</f>
        <v>3.7886659739429306E-2</v>
      </c>
      <c r="K14" s="39">
        <f>K4/N4</f>
        <v>3.0373271521061465E-3</v>
      </c>
      <c r="L14" s="39">
        <f>L4/N4</f>
        <v>7.992966189753018E-5</v>
      </c>
      <c r="M14" s="39">
        <f>M4/N4</f>
        <v>0</v>
      </c>
      <c r="N14" s="39">
        <f>SUM(H14:M14)</f>
        <v>0.99999999999999989</v>
      </c>
    </row>
    <row r="15" spans="1:15" x14ac:dyDescent="0.25">
      <c r="A15" s="18">
        <v>1</v>
      </c>
      <c r="B15" s="21">
        <v>12296</v>
      </c>
      <c r="C15" s="21">
        <v>215</v>
      </c>
      <c r="D15" s="21">
        <v>12511</v>
      </c>
      <c r="E15" s="39">
        <f>C15/D15</f>
        <v>1.7184877307968988E-2</v>
      </c>
      <c r="G15" s="18">
        <v>2</v>
      </c>
      <c r="H15" s="39">
        <f>H5/N5</f>
        <v>5.4937789264891505E-2</v>
      </c>
      <c r="I15" s="39">
        <f>I5/N5</f>
        <v>0.82058063352767929</v>
      </c>
      <c r="J15" s="39">
        <f>J5/N5</f>
        <v>0.11321151649936888</v>
      </c>
      <c r="K15" s="39">
        <f>K5/N5</f>
        <v>1.0668990803630462E-2</v>
      </c>
      <c r="L15" s="39">
        <f>L5/N5</f>
        <v>6.0106990442988523E-4</v>
      </c>
      <c r="M15" s="39">
        <f>M5/N5</f>
        <v>0</v>
      </c>
      <c r="N15" s="39">
        <f>SUM(H15:M15)</f>
        <v>1</v>
      </c>
    </row>
    <row r="16" spans="1:15" x14ac:dyDescent="0.25">
      <c r="A16" s="18">
        <v>2</v>
      </c>
      <c r="B16" s="22">
        <v>32071</v>
      </c>
      <c r="C16" s="22">
        <v>1203</v>
      </c>
      <c r="D16" s="22">
        <v>33274</v>
      </c>
      <c r="E16" s="39">
        <f t="shared" ref="E16:E20" si="1">C16/D16</f>
        <v>3.6154354751457597E-2</v>
      </c>
      <c r="G16" s="18">
        <v>3</v>
      </c>
      <c r="H16" s="39">
        <f>H6/N6</f>
        <v>5.7697976684979231E-2</v>
      </c>
      <c r="I16" s="39">
        <f>I6/N6</f>
        <v>0.73067131180490419</v>
      </c>
      <c r="J16" s="39">
        <f>J6/N6</f>
        <v>0.18105319576577783</v>
      </c>
      <c r="K16" s="39">
        <f>K6/N6</f>
        <v>2.816561704408415E-2</v>
      </c>
      <c r="L16" s="39">
        <f>L6/N6</f>
        <v>2.3850998258073161E-3</v>
      </c>
      <c r="M16" s="39">
        <f>M6/N6</f>
        <v>2.6798874447273214E-5</v>
      </c>
      <c r="N16" s="39">
        <f>SUM(H16:M16)</f>
        <v>1</v>
      </c>
    </row>
    <row r="17" spans="1:14" x14ac:dyDescent="0.25">
      <c r="A17" s="18">
        <v>3</v>
      </c>
      <c r="B17" s="22">
        <v>35428</v>
      </c>
      <c r="C17" s="22">
        <v>1887</v>
      </c>
      <c r="D17" s="22">
        <v>37315</v>
      </c>
      <c r="E17" s="39">
        <f t="shared" si="1"/>
        <v>5.0569476082004558E-2</v>
      </c>
      <c r="G17" s="18">
        <v>4</v>
      </c>
      <c r="H17" s="39">
        <f>H7/N7</f>
        <v>7.918220879172766E-2</v>
      </c>
      <c r="I17" s="39">
        <f>I7/N7</f>
        <v>0.67458331365975732</v>
      </c>
      <c r="J17" s="39">
        <f>J7/N7</f>
        <v>0.20945275980924502</v>
      </c>
      <c r="K17" s="39">
        <f>K7/N7</f>
        <v>3.4279238868690685E-2</v>
      </c>
      <c r="L17" s="39">
        <f>L7/N7</f>
        <v>2.5024788705793476E-3</v>
      </c>
      <c r="M17" s="39">
        <f>M7/N7</f>
        <v>0</v>
      </c>
      <c r="N17" s="39">
        <f>SUM(H17:M17)</f>
        <v>1</v>
      </c>
    </row>
    <row r="18" spans="1:14" x14ac:dyDescent="0.25">
      <c r="A18" s="18">
        <v>4</v>
      </c>
      <c r="B18" s="22">
        <v>20266</v>
      </c>
      <c r="C18" s="22">
        <v>913</v>
      </c>
      <c r="D18" s="22">
        <v>21179</v>
      </c>
      <c r="E18" s="39">
        <f t="shared" si="1"/>
        <v>4.3108739789414041E-2</v>
      </c>
      <c r="G18" s="18">
        <v>5</v>
      </c>
      <c r="H18" s="39">
        <f>H8/N8</f>
        <v>0.11200768491834774</v>
      </c>
      <c r="I18" s="39">
        <f>I8/N8</f>
        <v>0.62536023054755041</v>
      </c>
      <c r="J18" s="39">
        <f>J8/N8</f>
        <v>0.22026897214217098</v>
      </c>
      <c r="K18" s="39">
        <f>K8/N8</f>
        <v>4.0249759846301636E-2</v>
      </c>
      <c r="L18" s="39">
        <f>L8/N8</f>
        <v>2.1133525456292026E-3</v>
      </c>
      <c r="M18" s="39">
        <f>M8/N8</f>
        <v>0</v>
      </c>
      <c r="N18" s="39">
        <f>SUM(H18:M18)</f>
        <v>1</v>
      </c>
    </row>
    <row r="19" spans="1:14" x14ac:dyDescent="0.25">
      <c r="A19" s="18">
        <v>5</v>
      </c>
      <c r="B19" s="22">
        <v>9936</v>
      </c>
      <c r="C19" s="22">
        <v>474</v>
      </c>
      <c r="D19" s="22">
        <v>10410</v>
      </c>
      <c r="E19" s="39">
        <f t="shared" si="1"/>
        <v>4.5533141210374641E-2</v>
      </c>
      <c r="G19" s="20" t="s">
        <v>5</v>
      </c>
      <c r="H19" s="39">
        <f>H9/N9</f>
        <v>0.10845852697294422</v>
      </c>
      <c r="I19" s="39">
        <f>I9/N9</f>
        <v>0.71278849758913232</v>
      </c>
      <c r="J19" s="39">
        <f>J9/N9</f>
        <v>0.15455710661004979</v>
      </c>
      <c r="K19" s="39">
        <f>K9/N9</f>
        <v>2.2574091674005353E-2</v>
      </c>
      <c r="L19" s="39">
        <f>L9/N9</f>
        <v>1.6130579218582427E-3</v>
      </c>
      <c r="M19" s="39">
        <f>M9/N9</f>
        <v>8.7192320100445558E-6</v>
      </c>
      <c r="N19" s="39">
        <f>SUM(H19:M19)</f>
        <v>1</v>
      </c>
    </row>
    <row r="20" spans="1:14" x14ac:dyDescent="0.25">
      <c r="A20" s="20" t="s">
        <v>5</v>
      </c>
      <c r="B20" s="21">
        <v>109997</v>
      </c>
      <c r="C20" s="21">
        <v>4692</v>
      </c>
      <c r="D20" s="21">
        <v>114689</v>
      </c>
      <c r="E20" s="39">
        <f t="shared" si="1"/>
        <v>4.0910636591129056E-2</v>
      </c>
    </row>
    <row r="21" spans="1:14" x14ac:dyDescent="0.25">
      <c r="A21" s="1"/>
      <c r="B21" s="14"/>
      <c r="C21" s="14"/>
      <c r="D21" s="14"/>
      <c r="E21" s="14"/>
    </row>
    <row r="22" spans="1:14" x14ac:dyDescent="0.25">
      <c r="A22" s="2"/>
    </row>
    <row r="23" spans="1:14" ht="13.8" customHeight="1" x14ac:dyDescent="0.25">
      <c r="A23" s="15"/>
      <c r="B23" s="15" t="s">
        <v>20</v>
      </c>
      <c r="C23" s="15"/>
      <c r="D23" s="16" t="s">
        <v>5</v>
      </c>
      <c r="E23" s="37" t="s">
        <v>27</v>
      </c>
    </row>
    <row r="24" spans="1:14" ht="13.8" customHeight="1" x14ac:dyDescent="0.25">
      <c r="A24" s="15"/>
      <c r="B24" s="17" t="s">
        <v>25</v>
      </c>
      <c r="C24" s="17" t="s">
        <v>26</v>
      </c>
      <c r="D24" s="16"/>
      <c r="E24" s="38"/>
    </row>
    <row r="25" spans="1:14" ht="13.8" customHeight="1" x14ac:dyDescent="0.25">
      <c r="A25" s="20" t="s">
        <v>8</v>
      </c>
      <c r="B25" s="19"/>
      <c r="C25" s="19"/>
      <c r="D25" s="19"/>
      <c r="E25" s="19"/>
    </row>
    <row r="26" spans="1:14" x14ac:dyDescent="0.25">
      <c r="A26" s="18">
        <v>1</v>
      </c>
      <c r="B26" s="21">
        <v>12227</v>
      </c>
      <c r="C26" s="21">
        <v>284</v>
      </c>
      <c r="D26" s="21">
        <v>12511</v>
      </c>
      <c r="E26" s="39">
        <f>C26/D26</f>
        <v>2.270002397889857E-2</v>
      </c>
    </row>
    <row r="27" spans="1:14" x14ac:dyDescent="0.25">
      <c r="A27" s="18">
        <v>2</v>
      </c>
      <c r="B27" s="22">
        <v>31339</v>
      </c>
      <c r="C27" s="22">
        <v>1935</v>
      </c>
      <c r="D27" s="22">
        <v>33274</v>
      </c>
      <c r="E27" s="39">
        <f t="shared" ref="E27:E31" si="2">C27/D27</f>
        <v>5.8153513253591395E-2</v>
      </c>
    </row>
    <row r="28" spans="1:14" x14ac:dyDescent="0.25">
      <c r="A28" s="18">
        <v>3</v>
      </c>
      <c r="B28" s="22">
        <v>33299</v>
      </c>
      <c r="C28" s="22">
        <v>4016</v>
      </c>
      <c r="D28" s="22">
        <v>37315</v>
      </c>
      <c r="E28" s="39">
        <f t="shared" si="2"/>
        <v>0.10762427978024923</v>
      </c>
    </row>
    <row r="29" spans="1:14" x14ac:dyDescent="0.25">
      <c r="A29" s="18">
        <v>4</v>
      </c>
      <c r="B29" s="22">
        <v>17903</v>
      </c>
      <c r="C29" s="22">
        <v>3276</v>
      </c>
      <c r="D29" s="22">
        <v>21179</v>
      </c>
      <c r="E29" s="39">
        <f t="shared" si="2"/>
        <v>0.15468152415128192</v>
      </c>
    </row>
    <row r="30" spans="1:14" x14ac:dyDescent="0.25">
      <c r="A30" s="18">
        <v>5</v>
      </c>
      <c r="B30" s="22">
        <v>8445</v>
      </c>
      <c r="C30" s="22">
        <v>1965</v>
      </c>
      <c r="D30" s="22">
        <v>10410</v>
      </c>
      <c r="E30" s="39">
        <f t="shared" si="2"/>
        <v>0.18876080691642652</v>
      </c>
    </row>
    <row r="31" spans="1:14" x14ac:dyDescent="0.25">
      <c r="A31" s="20" t="s">
        <v>5</v>
      </c>
      <c r="B31" s="21">
        <v>103213</v>
      </c>
      <c r="C31" s="21">
        <v>11476</v>
      </c>
      <c r="D31" s="21">
        <v>114689</v>
      </c>
      <c r="E31" s="39">
        <f t="shared" si="2"/>
        <v>0.10006190654727132</v>
      </c>
    </row>
    <row r="32" spans="1:14" x14ac:dyDescent="0.25">
      <c r="A32" s="1"/>
      <c r="B32" s="14"/>
      <c r="C32" s="14"/>
      <c r="D32" s="14"/>
      <c r="E32" s="14"/>
    </row>
    <row r="33" spans="1:5" x14ac:dyDescent="0.25">
      <c r="A33" s="2"/>
    </row>
    <row r="34" spans="1:5" x14ac:dyDescent="0.25">
      <c r="A34" s="15"/>
      <c r="B34" s="15" t="s">
        <v>21</v>
      </c>
      <c r="C34" s="15"/>
      <c r="D34" s="16" t="s">
        <v>5</v>
      </c>
      <c r="E34" s="37" t="s">
        <v>27</v>
      </c>
    </row>
    <row r="35" spans="1:5" x14ac:dyDescent="0.25">
      <c r="A35" s="15"/>
      <c r="B35" s="17" t="s">
        <v>25</v>
      </c>
      <c r="C35" s="17" t="s">
        <v>26</v>
      </c>
      <c r="D35" s="16"/>
      <c r="E35" s="38"/>
    </row>
    <row r="36" spans="1:5" ht="13.8" customHeight="1" x14ac:dyDescent="0.25">
      <c r="A36" s="20" t="s">
        <v>8</v>
      </c>
      <c r="B36" s="19"/>
      <c r="C36" s="19"/>
      <c r="D36" s="19"/>
      <c r="E36" s="19"/>
    </row>
    <row r="37" spans="1:5" ht="13.8" customHeight="1" x14ac:dyDescent="0.25">
      <c r="A37" s="18">
        <v>1</v>
      </c>
      <c r="B37" s="21">
        <v>12266</v>
      </c>
      <c r="C37" s="21">
        <v>245</v>
      </c>
      <c r="D37" s="21">
        <v>12511</v>
      </c>
      <c r="E37" s="39">
        <f>C37/D37</f>
        <v>1.9582767164894894E-2</v>
      </c>
    </row>
    <row r="38" spans="1:5" x14ac:dyDescent="0.25">
      <c r="A38" s="18">
        <v>2</v>
      </c>
      <c r="B38" s="22">
        <v>31708</v>
      </c>
      <c r="C38" s="22">
        <v>1566</v>
      </c>
      <c r="D38" s="22">
        <v>33274</v>
      </c>
      <c r="E38" s="39">
        <f t="shared" ref="E38:E42" si="3">C38/D38</f>
        <v>4.7063773516860009E-2</v>
      </c>
    </row>
    <row r="39" spans="1:5" x14ac:dyDescent="0.25">
      <c r="A39" s="18">
        <v>3</v>
      </c>
      <c r="B39" s="22">
        <v>34316</v>
      </c>
      <c r="C39" s="22">
        <v>2999</v>
      </c>
      <c r="D39" s="22">
        <v>37315</v>
      </c>
      <c r="E39" s="39">
        <f t="shared" si="3"/>
        <v>8.0369824467372369E-2</v>
      </c>
    </row>
    <row r="40" spans="1:5" x14ac:dyDescent="0.25">
      <c r="A40" s="18">
        <v>4</v>
      </c>
      <c r="B40" s="22">
        <v>19148</v>
      </c>
      <c r="C40" s="22">
        <v>2031</v>
      </c>
      <c r="D40" s="22">
        <v>21179</v>
      </c>
      <c r="E40" s="39">
        <f t="shared" si="3"/>
        <v>9.5896878983899148E-2</v>
      </c>
    </row>
    <row r="41" spans="1:5" x14ac:dyDescent="0.25">
      <c r="A41" s="18">
        <v>5</v>
      </c>
      <c r="B41" s="22">
        <v>9475</v>
      </c>
      <c r="C41" s="22">
        <v>935</v>
      </c>
      <c r="D41" s="22">
        <v>10410</v>
      </c>
      <c r="E41" s="39">
        <f t="shared" si="3"/>
        <v>8.9817483189241112E-2</v>
      </c>
    </row>
    <row r="42" spans="1:5" x14ac:dyDescent="0.25">
      <c r="A42" s="20" t="s">
        <v>5</v>
      </c>
      <c r="B42" s="21">
        <v>106913</v>
      </c>
      <c r="C42" s="21">
        <v>7776</v>
      </c>
      <c r="D42" s="21">
        <v>114689</v>
      </c>
      <c r="E42" s="39">
        <f t="shared" si="3"/>
        <v>6.780074811010646E-2</v>
      </c>
    </row>
    <row r="43" spans="1:5" x14ac:dyDescent="0.25">
      <c r="A43" s="1"/>
      <c r="B43" s="14"/>
      <c r="C43" s="14"/>
      <c r="D43" s="14"/>
      <c r="E43" s="14"/>
    </row>
    <row r="44" spans="1:5" x14ac:dyDescent="0.25">
      <c r="A44" s="2"/>
    </row>
    <row r="45" spans="1:5" ht="13.8" customHeight="1" x14ac:dyDescent="0.25">
      <c r="A45" s="15"/>
      <c r="B45" s="15" t="s">
        <v>22</v>
      </c>
      <c r="C45" s="15"/>
      <c r="D45" s="16" t="s">
        <v>5</v>
      </c>
      <c r="E45" s="37" t="s">
        <v>27</v>
      </c>
    </row>
    <row r="46" spans="1:5" x14ac:dyDescent="0.25">
      <c r="A46" s="15"/>
      <c r="B46" s="17" t="s">
        <v>25</v>
      </c>
      <c r="C46" s="17" t="s">
        <v>26</v>
      </c>
      <c r="D46" s="16"/>
      <c r="E46" s="38"/>
    </row>
    <row r="47" spans="1:5" x14ac:dyDescent="0.25">
      <c r="A47" s="20" t="s">
        <v>8</v>
      </c>
      <c r="B47" s="19"/>
      <c r="C47" s="19"/>
      <c r="D47" s="19"/>
      <c r="E47" s="19"/>
    </row>
    <row r="48" spans="1:5" ht="13.8" customHeight="1" x14ac:dyDescent="0.25">
      <c r="A48" s="18">
        <v>1</v>
      </c>
      <c r="B48" s="21">
        <v>12509</v>
      </c>
      <c r="C48" s="21">
        <v>2</v>
      </c>
      <c r="D48" s="21">
        <v>12511</v>
      </c>
      <c r="E48" s="39">
        <f>C48/D48</f>
        <v>1.5985932379506036E-4</v>
      </c>
    </row>
    <row r="49" spans="1:5" ht="13.8" customHeight="1" x14ac:dyDescent="0.25">
      <c r="A49" s="18">
        <v>2</v>
      </c>
      <c r="B49" s="22">
        <v>33238</v>
      </c>
      <c r="C49" s="22">
        <v>36</v>
      </c>
      <c r="D49" s="22">
        <v>33274</v>
      </c>
      <c r="E49" s="39">
        <f t="shared" ref="E49:E53" si="4">C49/D49</f>
        <v>1.0819258279737933E-3</v>
      </c>
    </row>
    <row r="50" spans="1:5" x14ac:dyDescent="0.25">
      <c r="A50" s="18">
        <v>3</v>
      </c>
      <c r="B50" s="22">
        <v>37228</v>
      </c>
      <c r="C50" s="22">
        <v>87</v>
      </c>
      <c r="D50" s="22">
        <v>37315</v>
      </c>
      <c r="E50" s="39">
        <f t="shared" si="4"/>
        <v>2.3315020769127696E-3</v>
      </c>
    </row>
    <row r="51" spans="1:5" x14ac:dyDescent="0.25">
      <c r="A51" s="18">
        <v>4</v>
      </c>
      <c r="B51" s="22">
        <v>21129</v>
      </c>
      <c r="C51" s="22">
        <v>50</v>
      </c>
      <c r="D51" s="22">
        <v>21179</v>
      </c>
      <c r="E51" s="39">
        <f t="shared" si="4"/>
        <v>2.3608291231880635E-3</v>
      </c>
    </row>
    <row r="52" spans="1:5" x14ac:dyDescent="0.25">
      <c r="A52" s="18">
        <v>5</v>
      </c>
      <c r="B52" s="22">
        <v>10392</v>
      </c>
      <c r="C52" s="22">
        <v>18</v>
      </c>
      <c r="D52" s="22">
        <v>10410</v>
      </c>
      <c r="E52" s="39">
        <f t="shared" si="4"/>
        <v>1.7291066282420749E-3</v>
      </c>
    </row>
    <row r="53" spans="1:5" x14ac:dyDescent="0.25">
      <c r="A53" s="20" t="s">
        <v>5</v>
      </c>
      <c r="B53" s="21">
        <v>114496</v>
      </c>
      <c r="C53" s="21">
        <v>193</v>
      </c>
      <c r="D53" s="21">
        <v>114689</v>
      </c>
      <c r="E53" s="39">
        <f t="shared" si="4"/>
        <v>1.6828117779385992E-3</v>
      </c>
    </row>
    <row r="54" spans="1:5" x14ac:dyDescent="0.25">
      <c r="A54" s="1"/>
      <c r="B54" s="14"/>
      <c r="C54" s="14"/>
      <c r="D54" s="14"/>
      <c r="E54" s="14"/>
    </row>
    <row r="55" spans="1:5" x14ac:dyDescent="0.25">
      <c r="A55" s="2"/>
    </row>
    <row r="56" spans="1:5" x14ac:dyDescent="0.25">
      <c r="A56" s="15"/>
      <c r="B56" s="15" t="s">
        <v>23</v>
      </c>
      <c r="C56" s="15"/>
      <c r="D56" s="16" t="s">
        <v>5</v>
      </c>
      <c r="E56" s="37" t="s">
        <v>27</v>
      </c>
    </row>
    <row r="57" spans="1:5" x14ac:dyDescent="0.25">
      <c r="A57" s="15"/>
      <c r="B57" s="17" t="s">
        <v>25</v>
      </c>
      <c r="C57" s="17" t="s">
        <v>26</v>
      </c>
      <c r="D57" s="16"/>
      <c r="E57" s="38"/>
    </row>
    <row r="58" spans="1:5" x14ac:dyDescent="0.25">
      <c r="A58" s="20" t="s">
        <v>8</v>
      </c>
      <c r="B58" s="19"/>
      <c r="C58" s="19"/>
      <c r="D58" s="19"/>
      <c r="E58" s="19"/>
    </row>
    <row r="59" spans="1:5" x14ac:dyDescent="0.25">
      <c r="A59" s="18">
        <v>1</v>
      </c>
      <c r="B59" s="21">
        <v>12424</v>
      </c>
      <c r="C59" s="21">
        <v>87</v>
      </c>
      <c r="D59" s="21">
        <v>12511</v>
      </c>
      <c r="E59" s="39">
        <f>C59/D59</f>
        <v>6.9538805850851253E-3</v>
      </c>
    </row>
    <row r="60" spans="1:5" ht="13.8" customHeight="1" x14ac:dyDescent="0.25">
      <c r="A60" s="18">
        <v>2</v>
      </c>
      <c r="B60" s="22">
        <v>32870</v>
      </c>
      <c r="C60" s="22">
        <v>404</v>
      </c>
      <c r="D60" s="22">
        <v>33274</v>
      </c>
      <c r="E60" s="39">
        <f t="shared" ref="E60:E64" si="5">C60/D60</f>
        <v>1.2141612069483681E-2</v>
      </c>
    </row>
    <row r="61" spans="1:5" ht="13.8" customHeight="1" x14ac:dyDescent="0.25">
      <c r="A61" s="18">
        <v>3</v>
      </c>
      <c r="B61" s="22">
        <v>36649</v>
      </c>
      <c r="C61" s="22">
        <v>666</v>
      </c>
      <c r="D61" s="22">
        <v>37315</v>
      </c>
      <c r="E61" s="39">
        <f t="shared" si="5"/>
        <v>1.7848050381883959E-2</v>
      </c>
    </row>
    <row r="62" spans="1:5" x14ac:dyDescent="0.25">
      <c r="A62" s="18">
        <v>4</v>
      </c>
      <c r="B62" s="22">
        <v>20923</v>
      </c>
      <c r="C62" s="22">
        <v>256</v>
      </c>
      <c r="D62" s="22">
        <v>21179</v>
      </c>
      <c r="E62" s="39">
        <f t="shared" si="5"/>
        <v>1.2087445110722886E-2</v>
      </c>
    </row>
    <row r="63" spans="1:5" x14ac:dyDescent="0.25">
      <c r="A63" s="18">
        <v>5</v>
      </c>
      <c r="B63" s="22">
        <v>10279</v>
      </c>
      <c r="C63" s="22">
        <v>131</v>
      </c>
      <c r="D63" s="22">
        <v>10410</v>
      </c>
      <c r="E63" s="39">
        <f t="shared" si="5"/>
        <v>1.2584053794428434E-2</v>
      </c>
    </row>
    <row r="64" spans="1:5" x14ac:dyDescent="0.25">
      <c r="A64" s="20" t="s">
        <v>5</v>
      </c>
      <c r="B64" s="21">
        <v>113145</v>
      </c>
      <c r="C64" s="21">
        <v>1544</v>
      </c>
      <c r="D64" s="21">
        <v>114689</v>
      </c>
      <c r="E64" s="39">
        <f t="shared" si="5"/>
        <v>1.3462494223508793E-2</v>
      </c>
    </row>
    <row r="65" spans="1:5" x14ac:dyDescent="0.25">
      <c r="A65" s="1"/>
      <c r="B65" s="14"/>
      <c r="C65" s="14"/>
      <c r="D65" s="14"/>
      <c r="E65" s="14"/>
    </row>
    <row r="88" ht="13.8" customHeight="1" x14ac:dyDescent="0.25"/>
    <row r="89" ht="13.8" customHeight="1" x14ac:dyDescent="0.25"/>
    <row r="110" ht="13.8" customHeight="1" x14ac:dyDescent="0.25"/>
    <row r="111" ht="13.8" customHeight="1" x14ac:dyDescent="0.25"/>
  </sheetData>
  <mergeCells count="30">
    <mergeCell ref="G11:G12"/>
    <mergeCell ref="H11:M11"/>
    <mergeCell ref="N11:N12"/>
    <mergeCell ref="E1:E2"/>
    <mergeCell ref="E12:E13"/>
    <mergeCell ref="E23:E24"/>
    <mergeCell ref="E34:E35"/>
    <mergeCell ref="E45:E46"/>
    <mergeCell ref="A56:A57"/>
    <mergeCell ref="B56:C56"/>
    <mergeCell ref="D56:D57"/>
    <mergeCell ref="E56:E57"/>
    <mergeCell ref="A45:A46"/>
    <mergeCell ref="B45:C45"/>
    <mergeCell ref="D45:D46"/>
    <mergeCell ref="A34:A35"/>
    <mergeCell ref="B34:C34"/>
    <mergeCell ref="D34:D35"/>
    <mergeCell ref="A23:A24"/>
    <mergeCell ref="B23:C23"/>
    <mergeCell ref="D23:D24"/>
    <mergeCell ref="A12:A13"/>
    <mergeCell ref="B12:C12"/>
    <mergeCell ref="D12:D13"/>
    <mergeCell ref="A1:A2"/>
    <mergeCell ref="B1:C1"/>
    <mergeCell ref="D1:D2"/>
    <mergeCell ref="G1:G2"/>
    <mergeCell ref="H1:M1"/>
    <mergeCell ref="N1:N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4888-4CE6-429E-B731-8210E85DA5D1}">
  <dimension ref="A1:P125"/>
  <sheetViews>
    <sheetView rightToLeft="1" workbookViewId="0">
      <selection activeCell="G1" sqref="G1"/>
    </sheetView>
  </sheetViews>
  <sheetFormatPr defaultRowHeight="13.8" x14ac:dyDescent="0.25"/>
  <cols>
    <col min="1" max="1" width="5.09765625" bestFit="1" customWidth="1"/>
    <col min="2" max="2" width="4.8984375" bestFit="1" customWidth="1"/>
    <col min="3" max="5" width="7.3984375" bestFit="1" customWidth="1"/>
    <col min="6" max="6" width="15.09765625" bestFit="1" customWidth="1"/>
  </cols>
  <sheetData>
    <row r="1" spans="1:16" ht="13.8" customHeight="1" x14ac:dyDescent="0.25">
      <c r="A1" s="27"/>
      <c r="B1" s="28"/>
      <c r="C1" s="15" t="s">
        <v>18</v>
      </c>
      <c r="D1" s="15"/>
      <c r="E1" s="16" t="s">
        <v>5</v>
      </c>
      <c r="F1" s="37" t="s">
        <v>27</v>
      </c>
      <c r="G1" s="23"/>
      <c r="H1" s="27"/>
      <c r="I1" s="28"/>
      <c r="J1" s="15" t="s">
        <v>24</v>
      </c>
      <c r="K1" s="15"/>
      <c r="L1" s="15"/>
      <c r="M1" s="15"/>
      <c r="N1" s="15"/>
      <c r="O1" s="15"/>
      <c r="P1" s="16" t="s">
        <v>5</v>
      </c>
    </row>
    <row r="2" spans="1:16" x14ac:dyDescent="0.25">
      <c r="A2" s="29"/>
      <c r="B2" s="30"/>
      <c r="C2" s="17" t="s">
        <v>25</v>
      </c>
      <c r="D2" s="17" t="s">
        <v>26</v>
      </c>
      <c r="E2" s="16"/>
      <c r="F2" s="38"/>
      <c r="G2" s="23"/>
      <c r="H2" s="29"/>
      <c r="I2" s="30"/>
      <c r="J2" s="36">
        <v>0</v>
      </c>
      <c r="K2" s="36">
        <v>1</v>
      </c>
      <c r="L2" s="36">
        <v>2</v>
      </c>
      <c r="M2" s="36">
        <v>3</v>
      </c>
      <c r="N2" s="36">
        <v>4</v>
      </c>
      <c r="O2" s="36">
        <v>5</v>
      </c>
      <c r="P2" s="16"/>
    </row>
    <row r="3" spans="1:16" x14ac:dyDescent="0.25">
      <c r="A3" s="31" t="s">
        <v>12</v>
      </c>
      <c r="B3" s="33" t="s">
        <v>13</v>
      </c>
      <c r="C3" s="19"/>
      <c r="D3" s="19"/>
      <c r="E3" s="19"/>
      <c r="F3" s="19"/>
      <c r="G3" s="24"/>
      <c r="H3" s="31" t="s">
        <v>12</v>
      </c>
      <c r="I3" s="33" t="s">
        <v>13</v>
      </c>
      <c r="J3" s="19"/>
      <c r="K3" s="19"/>
      <c r="L3" s="19"/>
      <c r="M3" s="19"/>
      <c r="N3" s="19"/>
      <c r="O3" s="19"/>
      <c r="P3" s="19"/>
    </row>
    <row r="4" spans="1:16" x14ac:dyDescent="0.25">
      <c r="A4" s="31">
        <v>1</v>
      </c>
      <c r="B4" s="32">
        <v>2</v>
      </c>
      <c r="C4" s="21">
        <v>3184</v>
      </c>
      <c r="D4" s="21">
        <v>3554</v>
      </c>
      <c r="E4" s="21">
        <v>6738</v>
      </c>
      <c r="F4" s="39">
        <f>D4/E4</f>
        <v>0.52745621846245172</v>
      </c>
      <c r="G4" s="25"/>
      <c r="H4" s="31">
        <v>1</v>
      </c>
      <c r="I4" s="32">
        <v>2</v>
      </c>
      <c r="J4" s="21">
        <v>3033</v>
      </c>
      <c r="K4" s="21">
        <v>3496</v>
      </c>
      <c r="L4" s="21">
        <v>198</v>
      </c>
      <c r="M4" s="21">
        <v>11</v>
      </c>
      <c r="N4" s="21">
        <v>0</v>
      </c>
      <c r="O4" s="21">
        <v>0</v>
      </c>
      <c r="P4" s="21">
        <v>6738</v>
      </c>
    </row>
    <row r="5" spans="1:16" x14ac:dyDescent="0.25">
      <c r="A5" s="31">
        <v>1</v>
      </c>
      <c r="B5" s="32">
        <v>3</v>
      </c>
      <c r="C5" s="22">
        <v>1835</v>
      </c>
      <c r="D5" s="22">
        <v>2088</v>
      </c>
      <c r="E5" s="22">
        <v>3923</v>
      </c>
      <c r="F5" s="39">
        <f t="shared" ref="F5:F19" si="0">D5/E5</f>
        <v>0.53224573030843747</v>
      </c>
      <c r="G5" s="26"/>
      <c r="H5" s="31">
        <v>1</v>
      </c>
      <c r="I5" s="32">
        <v>3</v>
      </c>
      <c r="J5" s="22">
        <v>1744</v>
      </c>
      <c r="K5" s="22">
        <v>1990</v>
      </c>
      <c r="L5" s="22">
        <v>176</v>
      </c>
      <c r="M5" s="22">
        <v>13</v>
      </c>
      <c r="N5" s="22">
        <v>0</v>
      </c>
      <c r="O5" s="22">
        <v>0</v>
      </c>
      <c r="P5" s="22">
        <v>3923</v>
      </c>
    </row>
    <row r="6" spans="1:16" x14ac:dyDescent="0.25">
      <c r="A6" s="31">
        <v>1</v>
      </c>
      <c r="B6" s="32">
        <v>4</v>
      </c>
      <c r="C6" s="22">
        <v>508</v>
      </c>
      <c r="D6" s="22">
        <v>583</v>
      </c>
      <c r="E6" s="22">
        <v>1091</v>
      </c>
      <c r="F6" s="39">
        <f t="shared" si="0"/>
        <v>0.53437213565536201</v>
      </c>
      <c r="G6" s="26"/>
      <c r="H6" s="31">
        <v>1</v>
      </c>
      <c r="I6" s="32">
        <v>4</v>
      </c>
      <c r="J6" s="22">
        <v>484</v>
      </c>
      <c r="K6" s="22">
        <v>536</v>
      </c>
      <c r="L6" s="22">
        <v>58</v>
      </c>
      <c r="M6" s="22">
        <v>13</v>
      </c>
      <c r="N6" s="22">
        <v>0</v>
      </c>
      <c r="O6" s="22">
        <v>0</v>
      </c>
      <c r="P6" s="22">
        <v>1091</v>
      </c>
    </row>
    <row r="7" spans="1:16" x14ac:dyDescent="0.25">
      <c r="A7" s="31">
        <v>1</v>
      </c>
      <c r="B7" s="32">
        <v>5</v>
      </c>
      <c r="C7" s="22">
        <v>169</v>
      </c>
      <c r="D7" s="22">
        <v>169</v>
      </c>
      <c r="E7" s="22">
        <v>338</v>
      </c>
      <c r="F7" s="39">
        <f t="shared" si="0"/>
        <v>0.5</v>
      </c>
      <c r="G7" s="26"/>
      <c r="H7" s="31">
        <v>1</v>
      </c>
      <c r="I7" s="32">
        <v>5</v>
      </c>
      <c r="J7" s="22">
        <v>161</v>
      </c>
      <c r="K7" s="22">
        <v>159</v>
      </c>
      <c r="L7" s="22">
        <v>18</v>
      </c>
      <c r="M7" s="22">
        <v>0</v>
      </c>
      <c r="N7" s="22">
        <v>0</v>
      </c>
      <c r="O7" s="22">
        <v>0</v>
      </c>
      <c r="P7" s="22">
        <v>338</v>
      </c>
    </row>
    <row r="8" spans="1:16" x14ac:dyDescent="0.25">
      <c r="A8" s="31">
        <v>1</v>
      </c>
      <c r="B8" s="32">
        <v>6</v>
      </c>
      <c r="C8" s="22">
        <v>199</v>
      </c>
      <c r="D8" s="22">
        <v>222</v>
      </c>
      <c r="E8" s="22">
        <v>421</v>
      </c>
      <c r="F8" s="39">
        <f t="shared" si="0"/>
        <v>0.52731591448931114</v>
      </c>
      <c r="G8" s="26"/>
      <c r="H8" s="31">
        <v>1</v>
      </c>
      <c r="I8" s="32">
        <v>6</v>
      </c>
      <c r="J8" s="22">
        <v>193</v>
      </c>
      <c r="K8" s="22">
        <v>202</v>
      </c>
      <c r="L8" s="22">
        <v>24</v>
      </c>
      <c r="M8" s="22">
        <v>1</v>
      </c>
      <c r="N8" s="22">
        <v>1</v>
      </c>
      <c r="O8" s="22">
        <v>0</v>
      </c>
      <c r="P8" s="22">
        <v>421</v>
      </c>
    </row>
    <row r="9" spans="1:16" x14ac:dyDescent="0.25">
      <c r="A9" s="31">
        <v>2</v>
      </c>
      <c r="B9" s="32">
        <v>3</v>
      </c>
      <c r="C9" s="22">
        <v>1381</v>
      </c>
      <c r="D9" s="22">
        <v>20187</v>
      </c>
      <c r="E9" s="22">
        <v>21568</v>
      </c>
      <c r="F9" s="39">
        <f t="shared" si="0"/>
        <v>0.93596995548961426</v>
      </c>
      <c r="G9" s="26"/>
      <c r="H9" s="31">
        <v>2</v>
      </c>
      <c r="I9" s="32">
        <v>3</v>
      </c>
      <c r="J9" s="22">
        <v>1038</v>
      </c>
      <c r="K9" s="22">
        <v>17947</v>
      </c>
      <c r="L9" s="22">
        <v>2348</v>
      </c>
      <c r="M9" s="22">
        <v>223</v>
      </c>
      <c r="N9" s="22">
        <v>12</v>
      </c>
      <c r="O9" s="22">
        <v>0</v>
      </c>
      <c r="P9" s="22">
        <v>21568</v>
      </c>
    </row>
    <row r="10" spans="1:16" x14ac:dyDescent="0.25">
      <c r="A10" s="31">
        <v>2</v>
      </c>
      <c r="B10" s="32">
        <v>4</v>
      </c>
      <c r="C10" s="22">
        <v>458</v>
      </c>
      <c r="D10" s="22">
        <v>6026</v>
      </c>
      <c r="E10" s="22">
        <v>6484</v>
      </c>
      <c r="F10" s="39">
        <f t="shared" si="0"/>
        <v>0.92936458975940772</v>
      </c>
      <c r="G10" s="26"/>
      <c r="H10" s="31">
        <v>2</v>
      </c>
      <c r="I10" s="32">
        <v>4</v>
      </c>
      <c r="J10" s="22">
        <v>364</v>
      </c>
      <c r="K10" s="22">
        <v>5243</v>
      </c>
      <c r="L10" s="22">
        <v>792</v>
      </c>
      <c r="M10" s="22">
        <v>79</v>
      </c>
      <c r="N10" s="22">
        <v>6</v>
      </c>
      <c r="O10" s="22">
        <v>0</v>
      </c>
      <c r="P10" s="22">
        <v>6484</v>
      </c>
    </row>
    <row r="11" spans="1:16" x14ac:dyDescent="0.25">
      <c r="A11" s="31">
        <v>2</v>
      </c>
      <c r="B11" s="32">
        <v>5</v>
      </c>
      <c r="C11" s="22">
        <v>307</v>
      </c>
      <c r="D11" s="22">
        <v>2569</v>
      </c>
      <c r="E11" s="22">
        <v>2876</v>
      </c>
      <c r="F11" s="39">
        <f t="shared" si="0"/>
        <v>0.89325452016689844</v>
      </c>
      <c r="G11" s="26"/>
      <c r="H11" s="31">
        <v>2</v>
      </c>
      <c r="I11" s="32">
        <v>5</v>
      </c>
      <c r="J11" s="22">
        <v>205</v>
      </c>
      <c r="K11" s="22">
        <v>2276</v>
      </c>
      <c r="L11" s="22">
        <v>361</v>
      </c>
      <c r="M11" s="22">
        <v>34</v>
      </c>
      <c r="N11" s="22">
        <v>0</v>
      </c>
      <c r="O11" s="22">
        <v>0</v>
      </c>
      <c r="P11" s="22">
        <v>2876</v>
      </c>
    </row>
    <row r="12" spans="1:16" ht="13.8" customHeight="1" x14ac:dyDescent="0.25">
      <c r="A12" s="31">
        <v>2</v>
      </c>
      <c r="B12" s="32">
        <v>6</v>
      </c>
      <c r="C12" s="22">
        <v>289</v>
      </c>
      <c r="D12" s="22">
        <v>2057</v>
      </c>
      <c r="E12" s="22">
        <v>2346</v>
      </c>
      <c r="F12" s="39">
        <f t="shared" si="0"/>
        <v>0.87681159420289856</v>
      </c>
      <c r="G12" s="26"/>
      <c r="H12" s="31">
        <v>2</v>
      </c>
      <c r="I12" s="32">
        <v>6</v>
      </c>
      <c r="J12" s="22">
        <v>221</v>
      </c>
      <c r="K12" s="22">
        <v>1838</v>
      </c>
      <c r="L12" s="22">
        <v>266</v>
      </c>
      <c r="M12" s="22">
        <v>19</v>
      </c>
      <c r="N12" s="22">
        <v>2</v>
      </c>
      <c r="O12" s="22">
        <v>0</v>
      </c>
      <c r="P12" s="22">
        <v>2346</v>
      </c>
    </row>
    <row r="13" spans="1:16" ht="13.8" customHeight="1" x14ac:dyDescent="0.25">
      <c r="A13" s="31">
        <v>3</v>
      </c>
      <c r="B13" s="32">
        <v>4</v>
      </c>
      <c r="C13" s="22">
        <v>1339</v>
      </c>
      <c r="D13" s="22">
        <v>21294</v>
      </c>
      <c r="E13" s="22">
        <v>22633</v>
      </c>
      <c r="F13" s="39">
        <f t="shared" si="0"/>
        <v>0.94083859850660545</v>
      </c>
      <c r="G13" s="26"/>
      <c r="H13" s="31">
        <v>3</v>
      </c>
      <c r="I13" s="32">
        <v>4</v>
      </c>
      <c r="J13" s="22">
        <v>1069</v>
      </c>
      <c r="K13" s="22">
        <v>16528</v>
      </c>
      <c r="L13" s="22">
        <v>4265</v>
      </c>
      <c r="M13" s="22">
        <v>703</v>
      </c>
      <c r="N13" s="22">
        <v>68</v>
      </c>
      <c r="O13" s="22">
        <v>0</v>
      </c>
      <c r="P13" s="22">
        <v>22633</v>
      </c>
    </row>
    <row r="14" spans="1:16" x14ac:dyDescent="0.25">
      <c r="A14" s="31">
        <v>3</v>
      </c>
      <c r="B14" s="32">
        <v>5</v>
      </c>
      <c r="C14" s="22">
        <v>507</v>
      </c>
      <c r="D14" s="22">
        <v>5578</v>
      </c>
      <c r="E14" s="22">
        <v>6085</v>
      </c>
      <c r="F14" s="39">
        <f t="shared" si="0"/>
        <v>0.91668036154478227</v>
      </c>
      <c r="G14" s="26"/>
      <c r="H14" s="31">
        <v>3</v>
      </c>
      <c r="I14" s="32">
        <v>5</v>
      </c>
      <c r="J14" s="22">
        <v>409</v>
      </c>
      <c r="K14" s="22">
        <v>4474</v>
      </c>
      <c r="L14" s="22">
        <v>1036</v>
      </c>
      <c r="M14" s="22">
        <v>155</v>
      </c>
      <c r="N14" s="22">
        <v>11</v>
      </c>
      <c r="O14" s="22">
        <v>0</v>
      </c>
      <c r="P14" s="22">
        <v>6085</v>
      </c>
    </row>
    <row r="15" spans="1:16" x14ac:dyDescent="0.25">
      <c r="A15" s="31">
        <v>3</v>
      </c>
      <c r="B15" s="32">
        <v>6</v>
      </c>
      <c r="C15" s="22">
        <v>833</v>
      </c>
      <c r="D15" s="22">
        <v>7764</v>
      </c>
      <c r="E15" s="22">
        <v>8597</v>
      </c>
      <c r="F15" s="39">
        <f t="shared" si="0"/>
        <v>0.90310573455856691</v>
      </c>
      <c r="G15" s="26"/>
      <c r="H15" s="31">
        <v>3</v>
      </c>
      <c r="I15" s="32">
        <v>6</v>
      </c>
      <c r="J15" s="22">
        <v>675</v>
      </c>
      <c r="K15" s="22">
        <v>6263</v>
      </c>
      <c r="L15" s="22">
        <v>1455</v>
      </c>
      <c r="M15" s="22">
        <v>193</v>
      </c>
      <c r="N15" s="22">
        <v>10</v>
      </c>
      <c r="O15" s="22">
        <v>1</v>
      </c>
      <c r="P15" s="22">
        <v>8597</v>
      </c>
    </row>
    <row r="16" spans="1:16" x14ac:dyDescent="0.25">
      <c r="A16" s="31">
        <v>4</v>
      </c>
      <c r="B16" s="32">
        <v>5</v>
      </c>
      <c r="C16" s="22">
        <v>973</v>
      </c>
      <c r="D16" s="22">
        <v>9908</v>
      </c>
      <c r="E16" s="22">
        <v>10881</v>
      </c>
      <c r="F16" s="39">
        <f t="shared" si="0"/>
        <v>0.91057807186839446</v>
      </c>
      <c r="G16" s="26"/>
      <c r="H16" s="31">
        <v>4</v>
      </c>
      <c r="I16" s="32">
        <v>5</v>
      </c>
      <c r="J16" s="22">
        <v>740</v>
      </c>
      <c r="K16" s="22">
        <v>7374</v>
      </c>
      <c r="L16" s="22">
        <v>2320</v>
      </c>
      <c r="M16" s="22">
        <v>417</v>
      </c>
      <c r="N16" s="22">
        <v>30</v>
      </c>
      <c r="O16" s="22">
        <v>0</v>
      </c>
      <c r="P16" s="22">
        <v>10881</v>
      </c>
    </row>
    <row r="17" spans="1:16" x14ac:dyDescent="0.25">
      <c r="A17" s="31">
        <v>4</v>
      </c>
      <c r="B17" s="32">
        <v>6</v>
      </c>
      <c r="C17" s="22">
        <v>1183</v>
      </c>
      <c r="D17" s="22">
        <v>9115</v>
      </c>
      <c r="E17" s="22">
        <v>10298</v>
      </c>
      <c r="F17" s="39">
        <f t="shared" si="0"/>
        <v>0.88512332491745971</v>
      </c>
      <c r="G17" s="26"/>
      <c r="H17" s="31">
        <v>4</v>
      </c>
      <c r="I17" s="32">
        <v>6</v>
      </c>
      <c r="J17" s="22">
        <v>937</v>
      </c>
      <c r="K17" s="22">
        <v>6913</v>
      </c>
      <c r="L17" s="22">
        <v>2116</v>
      </c>
      <c r="M17" s="22">
        <v>309</v>
      </c>
      <c r="N17" s="22">
        <v>23</v>
      </c>
      <c r="O17" s="22">
        <v>0</v>
      </c>
      <c r="P17" s="22">
        <v>10298</v>
      </c>
    </row>
    <row r="18" spans="1:16" x14ac:dyDescent="0.25">
      <c r="A18" s="31">
        <v>5</v>
      </c>
      <c r="B18" s="32">
        <v>6</v>
      </c>
      <c r="C18" s="22">
        <v>1492</v>
      </c>
      <c r="D18" s="22">
        <v>8918</v>
      </c>
      <c r="E18" s="22">
        <v>10410</v>
      </c>
      <c r="F18" s="39">
        <f t="shared" si="0"/>
        <v>0.85667627281460135</v>
      </c>
      <c r="G18" s="26"/>
      <c r="H18" s="31">
        <v>5</v>
      </c>
      <c r="I18" s="32">
        <v>6</v>
      </c>
      <c r="J18" s="22">
        <v>1166</v>
      </c>
      <c r="K18" s="22">
        <v>6510</v>
      </c>
      <c r="L18" s="22">
        <v>2293</v>
      </c>
      <c r="M18" s="22">
        <v>419</v>
      </c>
      <c r="N18" s="22">
        <v>22</v>
      </c>
      <c r="O18" s="22">
        <v>0</v>
      </c>
      <c r="P18" s="22">
        <v>10410</v>
      </c>
    </row>
    <row r="19" spans="1:16" x14ac:dyDescent="0.25">
      <c r="A19" s="34" t="s">
        <v>5</v>
      </c>
      <c r="B19" s="35"/>
      <c r="C19" s="21">
        <v>14657</v>
      </c>
      <c r="D19" s="21">
        <v>100032</v>
      </c>
      <c r="E19" s="21">
        <v>114689</v>
      </c>
      <c r="F19" s="39">
        <f t="shared" si="0"/>
        <v>0.87220221642877693</v>
      </c>
      <c r="G19" s="25"/>
      <c r="H19" s="34" t="s">
        <v>5</v>
      </c>
      <c r="I19" s="35"/>
      <c r="J19" s="21">
        <v>12439</v>
      </c>
      <c r="K19" s="21">
        <v>81749</v>
      </c>
      <c r="L19" s="21">
        <v>17726</v>
      </c>
      <c r="M19" s="21">
        <v>2589</v>
      </c>
      <c r="N19" s="21">
        <v>185</v>
      </c>
      <c r="O19" s="21">
        <v>1</v>
      </c>
      <c r="P19" s="21">
        <v>114689</v>
      </c>
    </row>
    <row r="20" spans="1:16" x14ac:dyDescent="0.25">
      <c r="B20" s="1"/>
      <c r="C20" s="14"/>
      <c r="D20" s="14"/>
      <c r="E20" s="14"/>
      <c r="F20" s="14"/>
      <c r="G20" s="14"/>
      <c r="I20" s="1"/>
      <c r="J20" s="14"/>
      <c r="K20" s="14"/>
      <c r="L20" s="14"/>
      <c r="M20" s="14"/>
      <c r="N20" s="14"/>
      <c r="O20" s="14"/>
      <c r="P20" s="14"/>
    </row>
    <row r="21" spans="1:16" x14ac:dyDescent="0.25">
      <c r="B21" s="2"/>
      <c r="H21" s="27"/>
      <c r="I21" s="28"/>
      <c r="J21" s="15" t="s">
        <v>24</v>
      </c>
      <c r="K21" s="15"/>
      <c r="L21" s="15"/>
      <c r="M21" s="15"/>
      <c r="N21" s="15"/>
      <c r="O21" s="15"/>
      <c r="P21" s="16" t="s">
        <v>5</v>
      </c>
    </row>
    <row r="22" spans="1:16" x14ac:dyDescent="0.25">
      <c r="A22" s="27"/>
      <c r="B22" s="28"/>
      <c r="C22" s="15" t="s">
        <v>19</v>
      </c>
      <c r="D22" s="15"/>
      <c r="E22" s="16" t="s">
        <v>5</v>
      </c>
      <c r="F22" s="37" t="s">
        <v>27</v>
      </c>
      <c r="G22" s="23"/>
      <c r="H22" s="29"/>
      <c r="I22" s="30"/>
      <c r="J22" s="36">
        <v>0</v>
      </c>
      <c r="K22" s="36">
        <v>1</v>
      </c>
      <c r="L22" s="36">
        <v>2</v>
      </c>
      <c r="M22" s="36">
        <v>3</v>
      </c>
      <c r="N22" s="36">
        <v>4</v>
      </c>
      <c r="O22" s="36">
        <v>5</v>
      </c>
      <c r="P22" s="16"/>
    </row>
    <row r="23" spans="1:16" ht="13.8" customHeight="1" x14ac:dyDescent="0.25">
      <c r="A23" s="29"/>
      <c r="B23" s="30"/>
      <c r="C23" s="17" t="s">
        <v>25</v>
      </c>
      <c r="D23" s="17" t="s">
        <v>26</v>
      </c>
      <c r="E23" s="16"/>
      <c r="F23" s="38"/>
      <c r="G23" s="23"/>
      <c r="H23" s="31" t="s">
        <v>12</v>
      </c>
      <c r="I23" s="33" t="s">
        <v>13</v>
      </c>
      <c r="J23" s="19"/>
      <c r="K23" s="19"/>
      <c r="L23" s="19"/>
      <c r="M23" s="19"/>
      <c r="N23" s="19"/>
      <c r="O23" s="19"/>
      <c r="P23" s="19"/>
    </row>
    <row r="24" spans="1:16" ht="13.8" customHeight="1" x14ac:dyDescent="0.25">
      <c r="A24" s="31" t="s">
        <v>12</v>
      </c>
      <c r="B24" s="33" t="s">
        <v>13</v>
      </c>
      <c r="C24" s="19"/>
      <c r="D24" s="19"/>
      <c r="E24" s="19"/>
      <c r="F24" s="19"/>
      <c r="G24" s="24"/>
      <c r="H24" s="31">
        <v>1</v>
      </c>
      <c r="I24" s="32">
        <v>2</v>
      </c>
      <c r="J24" s="39">
        <f>J4/P4</f>
        <v>0.45013357079252003</v>
      </c>
      <c r="K24" s="39">
        <f>K4/P4</f>
        <v>0.5188483229444939</v>
      </c>
      <c r="L24" s="39">
        <f>L4/P4</f>
        <v>2.9385574354407838E-2</v>
      </c>
      <c r="M24" s="39">
        <f>M4/P4</f>
        <v>1.6325319085782131E-3</v>
      </c>
      <c r="N24" s="39">
        <f>N4/P4</f>
        <v>0</v>
      </c>
      <c r="O24" s="39">
        <f>O4/P4</f>
        <v>0</v>
      </c>
      <c r="P24" s="39">
        <f>SUM(J24:O24)</f>
        <v>1</v>
      </c>
    </row>
    <row r="25" spans="1:16" ht="13.8" customHeight="1" x14ac:dyDescent="0.25">
      <c r="A25" s="31">
        <v>1</v>
      </c>
      <c r="B25" s="32">
        <v>2</v>
      </c>
      <c r="C25" s="21">
        <v>6629</v>
      </c>
      <c r="D25" s="21">
        <v>109</v>
      </c>
      <c r="E25" s="21">
        <v>6738</v>
      </c>
      <c r="F25" s="39">
        <f>D25/E25</f>
        <v>1.6176907094093203E-2</v>
      </c>
      <c r="G25" s="25"/>
      <c r="H25" s="31">
        <v>1</v>
      </c>
      <c r="I25" s="32">
        <v>3</v>
      </c>
      <c r="J25" s="39">
        <f>J5/P5</f>
        <v>0.44455773642620444</v>
      </c>
      <c r="K25" s="39">
        <f>K5/P5</f>
        <v>0.50726484833035945</v>
      </c>
      <c r="L25" s="39">
        <f>L5/P5</f>
        <v>4.4863624776956414E-2</v>
      </c>
      <c r="M25" s="39">
        <f>M5/P5</f>
        <v>3.3137904664797351E-3</v>
      </c>
      <c r="N25" s="39">
        <f>N5/P5</f>
        <v>0</v>
      </c>
      <c r="O25" s="39">
        <f>O5/P5</f>
        <v>0</v>
      </c>
      <c r="P25" s="39">
        <f>SUM(J25:O25)</f>
        <v>1</v>
      </c>
    </row>
    <row r="26" spans="1:16" x14ac:dyDescent="0.25">
      <c r="A26" s="31">
        <v>1</v>
      </c>
      <c r="B26" s="32">
        <v>3</v>
      </c>
      <c r="C26" s="22">
        <v>3846</v>
      </c>
      <c r="D26" s="22">
        <v>77</v>
      </c>
      <c r="E26" s="22">
        <v>3923</v>
      </c>
      <c r="F26" s="39">
        <f t="shared" ref="F26:F40" si="1">D26/E26</f>
        <v>1.962783583991843E-2</v>
      </c>
      <c r="G26" s="26"/>
      <c r="H26" s="31">
        <v>1</v>
      </c>
      <c r="I26" s="32">
        <v>4</v>
      </c>
      <c r="J26" s="39">
        <f>J6/P6</f>
        <v>0.44362969752520626</v>
      </c>
      <c r="K26" s="39">
        <f>K6/P6</f>
        <v>0.49129239230064159</v>
      </c>
      <c r="L26" s="39">
        <f>L6/P6</f>
        <v>5.3162236480293307E-2</v>
      </c>
      <c r="M26" s="39">
        <f>M6/P6</f>
        <v>1.1915673693858845E-2</v>
      </c>
      <c r="N26" s="39">
        <f>N6/P6</f>
        <v>0</v>
      </c>
      <c r="O26" s="39">
        <f>O6/P6</f>
        <v>0</v>
      </c>
      <c r="P26" s="39">
        <f>SUM(J26:O26)</f>
        <v>1</v>
      </c>
    </row>
    <row r="27" spans="1:16" x14ac:dyDescent="0.25">
      <c r="A27" s="31">
        <v>1</v>
      </c>
      <c r="B27" s="32">
        <v>4</v>
      </c>
      <c r="C27" s="22">
        <v>1073</v>
      </c>
      <c r="D27" s="22">
        <v>18</v>
      </c>
      <c r="E27" s="22">
        <v>1091</v>
      </c>
      <c r="F27" s="39">
        <f t="shared" si="1"/>
        <v>1.6498625114573784E-2</v>
      </c>
      <c r="G27" s="26"/>
      <c r="H27" s="31">
        <v>1</v>
      </c>
      <c r="I27" s="32">
        <v>5</v>
      </c>
      <c r="J27" s="39">
        <f>J7/P7</f>
        <v>0.47633136094674555</v>
      </c>
      <c r="K27" s="39">
        <f>K7/P7</f>
        <v>0.47041420118343197</v>
      </c>
      <c r="L27" s="39">
        <f>L7/P7</f>
        <v>5.3254437869822487E-2</v>
      </c>
      <c r="M27" s="39">
        <f>M7/P7</f>
        <v>0</v>
      </c>
      <c r="N27" s="39">
        <f>N7/P7</f>
        <v>0</v>
      </c>
      <c r="O27" s="39">
        <f>O7/P7</f>
        <v>0</v>
      </c>
      <c r="P27" s="39">
        <f>SUM(J27:O27)</f>
        <v>1</v>
      </c>
    </row>
    <row r="28" spans="1:16" x14ac:dyDescent="0.25">
      <c r="A28" s="31">
        <v>1</v>
      </c>
      <c r="B28" s="32">
        <v>5</v>
      </c>
      <c r="C28" s="22">
        <v>333</v>
      </c>
      <c r="D28" s="22">
        <v>5</v>
      </c>
      <c r="E28" s="22">
        <v>338</v>
      </c>
      <c r="F28" s="39">
        <f t="shared" si="1"/>
        <v>1.4792899408284023E-2</v>
      </c>
      <c r="G28" s="26"/>
      <c r="H28" s="31">
        <v>1</v>
      </c>
      <c r="I28" s="32">
        <v>6</v>
      </c>
      <c r="J28" s="39">
        <f>J8/P8</f>
        <v>0.45843230403800472</v>
      </c>
      <c r="K28" s="39">
        <f>K8/P8</f>
        <v>0.47980997624703087</v>
      </c>
      <c r="L28" s="39">
        <f>L8/P8</f>
        <v>5.7007125890736345E-2</v>
      </c>
      <c r="M28" s="39">
        <f>M8/P8</f>
        <v>2.3752969121140144E-3</v>
      </c>
      <c r="N28" s="39">
        <f>N8/P8</f>
        <v>2.3752969121140144E-3</v>
      </c>
      <c r="O28" s="39">
        <f>O8/P8</f>
        <v>0</v>
      </c>
      <c r="P28" s="39">
        <f>SUM(J28:O28)</f>
        <v>1</v>
      </c>
    </row>
    <row r="29" spans="1:16" x14ac:dyDescent="0.25">
      <c r="A29" s="31">
        <v>1</v>
      </c>
      <c r="B29" s="32">
        <v>6</v>
      </c>
      <c r="C29" s="22">
        <v>415</v>
      </c>
      <c r="D29" s="22">
        <v>6</v>
      </c>
      <c r="E29" s="22">
        <v>421</v>
      </c>
      <c r="F29" s="39">
        <f t="shared" si="1"/>
        <v>1.4251781472684086E-2</v>
      </c>
      <c r="G29" s="26"/>
      <c r="H29" s="31">
        <v>2</v>
      </c>
      <c r="I29" s="32">
        <v>3</v>
      </c>
      <c r="J29" s="39">
        <f>J9/P9</f>
        <v>4.8126854599406528E-2</v>
      </c>
      <c r="K29" s="39">
        <f>K9/P9</f>
        <v>0.83211238872403559</v>
      </c>
      <c r="L29" s="39">
        <f>L9/P9</f>
        <v>0.10886498516320475</v>
      </c>
      <c r="M29" s="39">
        <f>M9/P9</f>
        <v>1.0339391691394658E-2</v>
      </c>
      <c r="N29" s="39">
        <f>N9/P9</f>
        <v>5.5637982195845699E-4</v>
      </c>
      <c r="O29" s="39">
        <f>O9/P9</f>
        <v>0</v>
      </c>
      <c r="P29" s="39">
        <f>SUM(J29:O29)</f>
        <v>1</v>
      </c>
    </row>
    <row r="30" spans="1:16" x14ac:dyDescent="0.25">
      <c r="A30" s="31">
        <v>2</v>
      </c>
      <c r="B30" s="32">
        <v>3</v>
      </c>
      <c r="C30" s="22">
        <v>20873</v>
      </c>
      <c r="D30" s="22">
        <v>695</v>
      </c>
      <c r="E30" s="22">
        <v>21568</v>
      </c>
      <c r="F30" s="39">
        <f t="shared" si="1"/>
        <v>3.22236646884273E-2</v>
      </c>
      <c r="G30" s="26"/>
      <c r="H30" s="31">
        <v>2</v>
      </c>
      <c r="I30" s="32">
        <v>4</v>
      </c>
      <c r="J30" s="39">
        <f>J10/P10</f>
        <v>5.6138186304750155E-2</v>
      </c>
      <c r="K30" s="39">
        <f>K10/P10</f>
        <v>0.80860579888957429</v>
      </c>
      <c r="L30" s="39">
        <f>L10/P10</f>
        <v>0.12214682294879704</v>
      </c>
      <c r="M30" s="39">
        <f>M10/P10</f>
        <v>1.2183837137569401E-2</v>
      </c>
      <c r="N30" s="39">
        <f>N10/P10</f>
        <v>9.2535471930906845E-4</v>
      </c>
      <c r="O30" s="39">
        <f>O10/P10</f>
        <v>0</v>
      </c>
      <c r="P30" s="39">
        <f>SUM(J30:O30)</f>
        <v>1</v>
      </c>
    </row>
    <row r="31" spans="1:16" x14ac:dyDescent="0.25">
      <c r="A31" s="31">
        <v>2</v>
      </c>
      <c r="B31" s="32">
        <v>4</v>
      </c>
      <c r="C31" s="22">
        <v>6267</v>
      </c>
      <c r="D31" s="22">
        <v>217</v>
      </c>
      <c r="E31" s="22">
        <v>6484</v>
      </c>
      <c r="F31" s="39">
        <f t="shared" si="1"/>
        <v>3.3466995681677977E-2</v>
      </c>
      <c r="G31" s="26"/>
      <c r="H31" s="31">
        <v>2</v>
      </c>
      <c r="I31" s="32">
        <v>5</v>
      </c>
      <c r="J31" s="39">
        <f>J11/P11</f>
        <v>7.1279554937413073E-2</v>
      </c>
      <c r="K31" s="39">
        <f>K11/P11</f>
        <v>0.79137691237830321</v>
      </c>
      <c r="L31" s="39">
        <f>L11/P11</f>
        <v>0.12552155771905424</v>
      </c>
      <c r="M31" s="39">
        <f>M11/P11</f>
        <v>1.1821974965229486E-2</v>
      </c>
      <c r="N31" s="39">
        <f>N11/P11</f>
        <v>0</v>
      </c>
      <c r="O31" s="39">
        <f>O11/P11</f>
        <v>0</v>
      </c>
      <c r="P31" s="39">
        <f>SUM(J31:O31)</f>
        <v>1</v>
      </c>
    </row>
    <row r="32" spans="1:16" x14ac:dyDescent="0.25">
      <c r="A32" s="31">
        <v>2</v>
      </c>
      <c r="B32" s="32">
        <v>5</v>
      </c>
      <c r="C32" s="22">
        <v>2680</v>
      </c>
      <c r="D32" s="22">
        <v>196</v>
      </c>
      <c r="E32" s="22">
        <v>2876</v>
      </c>
      <c r="F32" s="39">
        <f t="shared" si="1"/>
        <v>6.8150208623087627E-2</v>
      </c>
      <c r="G32" s="26"/>
      <c r="H32" s="31">
        <v>2</v>
      </c>
      <c r="I32" s="32">
        <v>6</v>
      </c>
      <c r="J32" s="39">
        <f>J12/P12</f>
        <v>9.420289855072464E-2</v>
      </c>
      <c r="K32" s="39">
        <f>K12/P12</f>
        <v>0.78346121057118501</v>
      </c>
      <c r="L32" s="39">
        <f>L12/P12</f>
        <v>0.113384484228474</v>
      </c>
      <c r="M32" s="39">
        <f>M12/P12</f>
        <v>8.098891730605285E-3</v>
      </c>
      <c r="N32" s="39">
        <f>N12/P12</f>
        <v>8.5251491901108269E-4</v>
      </c>
      <c r="O32" s="39">
        <f>O12/P12</f>
        <v>0</v>
      </c>
      <c r="P32" s="39">
        <f>SUM(J32:O32)</f>
        <v>1</v>
      </c>
    </row>
    <row r="33" spans="1:16" x14ac:dyDescent="0.25">
      <c r="A33" s="31">
        <v>2</v>
      </c>
      <c r="B33" s="32">
        <v>6</v>
      </c>
      <c r="C33" s="22">
        <v>2251</v>
      </c>
      <c r="D33" s="22">
        <v>95</v>
      </c>
      <c r="E33" s="22">
        <v>2346</v>
      </c>
      <c r="F33" s="39">
        <f t="shared" si="1"/>
        <v>4.0494458653026429E-2</v>
      </c>
      <c r="G33" s="26"/>
      <c r="H33" s="31">
        <v>3</v>
      </c>
      <c r="I33" s="32">
        <v>4</v>
      </c>
      <c r="J33" s="39">
        <f>J13/P13</f>
        <v>4.7231917995846771E-2</v>
      </c>
      <c r="K33" s="39">
        <f>K13/P13</f>
        <v>0.73026112313877967</v>
      </c>
      <c r="L33" s="39">
        <f>L13/P13</f>
        <v>0.18844165598904256</v>
      </c>
      <c r="M33" s="39">
        <f>M13/P13</f>
        <v>3.1060840365837495E-2</v>
      </c>
      <c r="N33" s="39">
        <f>N13/P13</f>
        <v>3.0044625104935271E-3</v>
      </c>
      <c r="O33" s="39">
        <f>O13/P13</f>
        <v>0</v>
      </c>
      <c r="P33" s="39">
        <f>SUM(J33:O33)</f>
        <v>1</v>
      </c>
    </row>
    <row r="34" spans="1:16" x14ac:dyDescent="0.25">
      <c r="A34" s="31">
        <v>3</v>
      </c>
      <c r="B34" s="32">
        <v>4</v>
      </c>
      <c r="C34" s="22">
        <v>21489</v>
      </c>
      <c r="D34" s="22">
        <v>1144</v>
      </c>
      <c r="E34" s="22">
        <v>22633</v>
      </c>
      <c r="F34" s="39">
        <f t="shared" si="1"/>
        <v>5.0545663411832281E-2</v>
      </c>
      <c r="G34" s="26"/>
      <c r="H34" s="31">
        <v>3</v>
      </c>
      <c r="I34" s="32">
        <v>5</v>
      </c>
      <c r="J34" s="39">
        <f>J14/P14</f>
        <v>6.7214461791290064E-2</v>
      </c>
      <c r="K34" s="39">
        <f>K14/P14</f>
        <v>0.73525061626951516</v>
      </c>
      <c r="L34" s="39">
        <f>L14/P14</f>
        <v>0.17025472473294986</v>
      </c>
      <c r="M34" s="39">
        <f>M14/P14</f>
        <v>2.5472473294987676E-2</v>
      </c>
      <c r="N34" s="39">
        <f>N14/P14</f>
        <v>1.8077239112571897E-3</v>
      </c>
      <c r="O34" s="39">
        <f>O14/P14</f>
        <v>0</v>
      </c>
      <c r="P34" s="39">
        <f>SUM(J34:O34)</f>
        <v>1</v>
      </c>
    </row>
    <row r="35" spans="1:16" x14ac:dyDescent="0.25">
      <c r="A35" s="31">
        <v>3</v>
      </c>
      <c r="B35" s="32">
        <v>5</v>
      </c>
      <c r="C35" s="22">
        <v>5812</v>
      </c>
      <c r="D35" s="22">
        <v>273</v>
      </c>
      <c r="E35" s="22">
        <v>6085</v>
      </c>
      <c r="F35" s="39">
        <f t="shared" si="1"/>
        <v>4.4864420706655708E-2</v>
      </c>
      <c r="G35" s="26"/>
      <c r="H35" s="31">
        <v>3</v>
      </c>
      <c r="I35" s="32">
        <v>6</v>
      </c>
      <c r="J35" s="39">
        <f>J15/P15</f>
        <v>7.8515761312085611E-2</v>
      </c>
      <c r="K35" s="39">
        <f>K15/P15</f>
        <v>0.72850994532976621</v>
      </c>
      <c r="L35" s="39">
        <f>L15/P15</f>
        <v>0.16924508549494011</v>
      </c>
      <c r="M35" s="39">
        <f>M15/P15</f>
        <v>2.2449691752937071E-2</v>
      </c>
      <c r="N35" s="39">
        <f>N15/P15</f>
        <v>1.1631964638827497E-3</v>
      </c>
      <c r="O35" s="39">
        <f>O15/P15</f>
        <v>1.1631964638827499E-4</v>
      </c>
      <c r="P35" s="39">
        <f>SUM(J35:O35)</f>
        <v>1</v>
      </c>
    </row>
    <row r="36" spans="1:16" ht="13.8" customHeight="1" x14ac:dyDescent="0.25">
      <c r="A36" s="31">
        <v>3</v>
      </c>
      <c r="B36" s="32">
        <v>6</v>
      </c>
      <c r="C36" s="22">
        <v>8127</v>
      </c>
      <c r="D36" s="22">
        <v>470</v>
      </c>
      <c r="E36" s="22">
        <v>8597</v>
      </c>
      <c r="F36" s="39">
        <f t="shared" si="1"/>
        <v>5.467023380248924E-2</v>
      </c>
      <c r="G36" s="26"/>
      <c r="H36" s="31">
        <v>4</v>
      </c>
      <c r="I36" s="32">
        <v>5</v>
      </c>
      <c r="J36" s="39">
        <f>J16/P16</f>
        <v>6.8008455105229293E-2</v>
      </c>
      <c r="K36" s="39">
        <f>K16/P16</f>
        <v>0.67769506479183894</v>
      </c>
      <c r="L36" s="39">
        <f>L16/P16</f>
        <v>0.21321569708666482</v>
      </c>
      <c r="M36" s="39">
        <f>M16/P16</f>
        <v>3.8323683484973808E-2</v>
      </c>
      <c r="N36" s="39">
        <f>N16/P16</f>
        <v>2.7570995312930797E-3</v>
      </c>
      <c r="O36" s="39">
        <f>O16/P16</f>
        <v>0</v>
      </c>
      <c r="P36" s="39">
        <f>SUM(J36:O36)</f>
        <v>1</v>
      </c>
    </row>
    <row r="37" spans="1:16" ht="13.8" customHeight="1" x14ac:dyDescent="0.25">
      <c r="A37" s="31">
        <v>4</v>
      </c>
      <c r="B37" s="32">
        <v>5</v>
      </c>
      <c r="C37" s="22">
        <v>10377</v>
      </c>
      <c r="D37" s="22">
        <v>504</v>
      </c>
      <c r="E37" s="22">
        <v>10881</v>
      </c>
      <c r="F37" s="39">
        <f t="shared" si="1"/>
        <v>4.6319272125723739E-2</v>
      </c>
      <c r="G37" s="26"/>
      <c r="H37" s="31">
        <v>4</v>
      </c>
      <c r="I37" s="32">
        <v>6</v>
      </c>
      <c r="J37" s="39">
        <f>J17/P17</f>
        <v>9.0988541464362013E-2</v>
      </c>
      <c r="K37" s="39">
        <f>K17/P17</f>
        <v>0.67129539716449793</v>
      </c>
      <c r="L37" s="39">
        <f>L17/P17</f>
        <v>0.20547679161002136</v>
      </c>
      <c r="M37" s="39">
        <f>M17/P17</f>
        <v>3.0005826374053215E-2</v>
      </c>
      <c r="N37" s="39">
        <f>N17/P17</f>
        <v>2.2334433870654495E-3</v>
      </c>
      <c r="O37" s="39">
        <f>O17/P17</f>
        <v>0</v>
      </c>
      <c r="P37" s="39">
        <f>SUM(J37:O37)</f>
        <v>1</v>
      </c>
    </row>
    <row r="38" spans="1:16" x14ac:dyDescent="0.25">
      <c r="A38" s="31">
        <v>4</v>
      </c>
      <c r="B38" s="32">
        <v>6</v>
      </c>
      <c r="C38" s="22">
        <v>9889</v>
      </c>
      <c r="D38" s="22">
        <v>409</v>
      </c>
      <c r="E38" s="22">
        <v>10298</v>
      </c>
      <c r="F38" s="39">
        <f t="shared" si="1"/>
        <v>3.9716449796076907E-2</v>
      </c>
      <c r="G38" s="26"/>
      <c r="H38" s="31">
        <v>5</v>
      </c>
      <c r="I38" s="32">
        <v>6</v>
      </c>
      <c r="J38" s="39">
        <f>J18/P18</f>
        <v>0.11200768491834774</v>
      </c>
      <c r="K38" s="39">
        <f>K18/P18</f>
        <v>0.62536023054755041</v>
      </c>
      <c r="L38" s="39">
        <f>L18/P18</f>
        <v>0.22026897214217098</v>
      </c>
      <c r="M38" s="39">
        <f>M18/P18</f>
        <v>4.0249759846301636E-2</v>
      </c>
      <c r="N38" s="39">
        <f>N18/P18</f>
        <v>2.1133525456292026E-3</v>
      </c>
      <c r="O38" s="39">
        <f>O18/P18</f>
        <v>0</v>
      </c>
      <c r="P38" s="39">
        <f>SUM(J38:O38)</f>
        <v>1</v>
      </c>
    </row>
    <row r="39" spans="1:16" x14ac:dyDescent="0.25">
      <c r="A39" s="31">
        <v>5</v>
      </c>
      <c r="B39" s="32">
        <v>6</v>
      </c>
      <c r="C39" s="22">
        <v>9936</v>
      </c>
      <c r="D39" s="22">
        <v>474</v>
      </c>
      <c r="E39" s="22">
        <v>10410</v>
      </c>
      <c r="F39" s="39">
        <f t="shared" si="1"/>
        <v>4.5533141210374641E-2</v>
      </c>
      <c r="G39" s="26"/>
      <c r="H39" s="34" t="s">
        <v>5</v>
      </c>
      <c r="I39" s="35"/>
      <c r="J39" s="39">
        <f>J19/P19</f>
        <v>0.10845852697294422</v>
      </c>
      <c r="K39" s="39">
        <f>K19/P19</f>
        <v>0.71278849758913232</v>
      </c>
      <c r="L39" s="39">
        <f>L19/P19</f>
        <v>0.15455710661004979</v>
      </c>
      <c r="M39" s="39">
        <f>M19/P19</f>
        <v>2.2574091674005353E-2</v>
      </c>
      <c r="N39" s="39">
        <f>N19/P19</f>
        <v>1.6130579218582427E-3</v>
      </c>
      <c r="O39" s="39">
        <f>O19/P19</f>
        <v>8.7192320100445558E-6</v>
      </c>
      <c r="P39" s="39">
        <f>SUM(J39:O39)</f>
        <v>1</v>
      </c>
    </row>
    <row r="40" spans="1:16" x14ac:dyDescent="0.25">
      <c r="A40" s="34" t="s">
        <v>5</v>
      </c>
      <c r="B40" s="35"/>
      <c r="C40" s="21">
        <v>109997</v>
      </c>
      <c r="D40" s="21">
        <v>4692</v>
      </c>
      <c r="E40" s="21">
        <v>114689</v>
      </c>
      <c r="F40" s="39">
        <f t="shared" si="1"/>
        <v>4.0910636591129056E-2</v>
      </c>
      <c r="G40" s="25"/>
    </row>
    <row r="41" spans="1:16" x14ac:dyDescent="0.25">
      <c r="B41" s="1"/>
      <c r="C41" s="14"/>
      <c r="D41" s="14"/>
      <c r="E41" s="14"/>
      <c r="F41" s="14"/>
      <c r="G41" s="14"/>
    </row>
    <row r="42" spans="1:16" x14ac:dyDescent="0.25">
      <c r="B42" s="2"/>
    </row>
    <row r="43" spans="1:16" x14ac:dyDescent="0.25">
      <c r="A43" s="27"/>
      <c r="B43" s="28"/>
      <c r="C43" s="15" t="s">
        <v>20</v>
      </c>
      <c r="D43" s="15"/>
      <c r="E43" s="16" t="s">
        <v>5</v>
      </c>
      <c r="F43" s="37" t="s">
        <v>27</v>
      </c>
      <c r="G43" s="23"/>
    </row>
    <row r="44" spans="1:16" x14ac:dyDescent="0.25">
      <c r="A44" s="29"/>
      <c r="B44" s="30"/>
      <c r="C44" s="17" t="s">
        <v>25</v>
      </c>
      <c r="D44" s="17" t="s">
        <v>26</v>
      </c>
      <c r="E44" s="16"/>
      <c r="F44" s="38"/>
      <c r="G44" s="23"/>
    </row>
    <row r="45" spans="1:16" ht="13.8" customHeight="1" x14ac:dyDescent="0.25">
      <c r="A45" s="31" t="s">
        <v>12</v>
      </c>
      <c r="B45" s="33" t="s">
        <v>13</v>
      </c>
      <c r="C45" s="19"/>
      <c r="D45" s="19"/>
      <c r="E45" s="19"/>
      <c r="F45" s="19"/>
      <c r="G45" s="24"/>
    </row>
    <row r="46" spans="1:16" x14ac:dyDescent="0.25">
      <c r="A46" s="31">
        <v>1</v>
      </c>
      <c r="B46" s="32">
        <v>2</v>
      </c>
      <c r="C46" s="21">
        <v>6640</v>
      </c>
      <c r="D46" s="21">
        <v>98</v>
      </c>
      <c r="E46" s="21">
        <v>6738</v>
      </c>
      <c r="F46" s="39">
        <f>D46/E46</f>
        <v>1.4544375185514989E-2</v>
      </c>
      <c r="G46" s="25"/>
    </row>
    <row r="47" spans="1:16" x14ac:dyDescent="0.25">
      <c r="A47" s="31">
        <v>1</v>
      </c>
      <c r="B47" s="32">
        <v>3</v>
      </c>
      <c r="C47" s="22">
        <v>3813</v>
      </c>
      <c r="D47" s="22">
        <v>110</v>
      </c>
      <c r="E47" s="22">
        <v>3923</v>
      </c>
      <c r="F47" s="39">
        <f t="shared" ref="F47:F61" si="2">D47/E47</f>
        <v>2.8039765485597758E-2</v>
      </c>
      <c r="G47" s="26"/>
    </row>
    <row r="48" spans="1:16" ht="13.8" customHeight="1" x14ac:dyDescent="0.25">
      <c r="A48" s="31">
        <v>1</v>
      </c>
      <c r="B48" s="32">
        <v>4</v>
      </c>
      <c r="C48" s="22">
        <v>1041</v>
      </c>
      <c r="D48" s="22">
        <v>50</v>
      </c>
      <c r="E48" s="22">
        <v>1091</v>
      </c>
      <c r="F48" s="39">
        <f t="shared" si="2"/>
        <v>4.5829514207149404E-2</v>
      </c>
      <c r="G48" s="26"/>
    </row>
    <row r="49" spans="1:7" ht="13.8" customHeight="1" x14ac:dyDescent="0.25">
      <c r="A49" s="31">
        <v>1</v>
      </c>
      <c r="B49" s="32">
        <v>5</v>
      </c>
      <c r="C49" s="22">
        <v>327</v>
      </c>
      <c r="D49" s="22">
        <v>11</v>
      </c>
      <c r="E49" s="22">
        <v>338</v>
      </c>
      <c r="F49" s="39">
        <f t="shared" si="2"/>
        <v>3.2544378698224852E-2</v>
      </c>
      <c r="G49" s="26"/>
    </row>
    <row r="50" spans="1:7" x14ac:dyDescent="0.25">
      <c r="A50" s="31">
        <v>1</v>
      </c>
      <c r="B50" s="32">
        <v>6</v>
      </c>
      <c r="C50" s="22">
        <v>406</v>
      </c>
      <c r="D50" s="22">
        <v>15</v>
      </c>
      <c r="E50" s="22">
        <v>421</v>
      </c>
      <c r="F50" s="39">
        <f t="shared" si="2"/>
        <v>3.5629453681710214E-2</v>
      </c>
      <c r="G50" s="26"/>
    </row>
    <row r="51" spans="1:7" x14ac:dyDescent="0.25">
      <c r="A51" s="31">
        <v>2</v>
      </c>
      <c r="B51" s="32">
        <v>3</v>
      </c>
      <c r="C51" s="22">
        <v>20435</v>
      </c>
      <c r="D51" s="22">
        <v>1133</v>
      </c>
      <c r="E51" s="22">
        <v>21568</v>
      </c>
      <c r="F51" s="39">
        <f t="shared" si="2"/>
        <v>5.2531528189910977E-2</v>
      </c>
      <c r="G51" s="26"/>
    </row>
    <row r="52" spans="1:7" x14ac:dyDescent="0.25">
      <c r="A52" s="31">
        <v>2</v>
      </c>
      <c r="B52" s="32">
        <v>4</v>
      </c>
      <c r="C52" s="22">
        <v>6027</v>
      </c>
      <c r="D52" s="22">
        <v>457</v>
      </c>
      <c r="E52" s="22">
        <v>6484</v>
      </c>
      <c r="F52" s="39">
        <f t="shared" si="2"/>
        <v>7.048118445404071E-2</v>
      </c>
      <c r="G52" s="26"/>
    </row>
    <row r="53" spans="1:7" x14ac:dyDescent="0.25">
      <c r="A53" s="31">
        <v>2</v>
      </c>
      <c r="B53" s="32">
        <v>5</v>
      </c>
      <c r="C53" s="22">
        <v>2695</v>
      </c>
      <c r="D53" s="22">
        <v>181</v>
      </c>
      <c r="E53" s="22">
        <v>2876</v>
      </c>
      <c r="F53" s="39">
        <f t="shared" si="2"/>
        <v>6.2934631432545199E-2</v>
      </c>
      <c r="G53" s="26"/>
    </row>
    <row r="54" spans="1:7" x14ac:dyDescent="0.25">
      <c r="A54" s="31">
        <v>2</v>
      </c>
      <c r="B54" s="32">
        <v>6</v>
      </c>
      <c r="C54" s="22">
        <v>2182</v>
      </c>
      <c r="D54" s="22">
        <v>164</v>
      </c>
      <c r="E54" s="22">
        <v>2346</v>
      </c>
      <c r="F54" s="39">
        <f t="shared" si="2"/>
        <v>6.9906223358908781E-2</v>
      </c>
      <c r="G54" s="26"/>
    </row>
    <row r="55" spans="1:7" x14ac:dyDescent="0.25">
      <c r="A55" s="31">
        <v>3</v>
      </c>
      <c r="B55" s="32">
        <v>4</v>
      </c>
      <c r="C55" s="22">
        <v>20061</v>
      </c>
      <c r="D55" s="22">
        <v>2572</v>
      </c>
      <c r="E55" s="22">
        <v>22633</v>
      </c>
      <c r="F55" s="39">
        <f t="shared" si="2"/>
        <v>0.11363937613219635</v>
      </c>
      <c r="G55" s="26"/>
    </row>
    <row r="56" spans="1:7" x14ac:dyDescent="0.25">
      <c r="A56" s="31">
        <v>3</v>
      </c>
      <c r="B56" s="32">
        <v>5</v>
      </c>
      <c r="C56" s="22">
        <v>5415</v>
      </c>
      <c r="D56" s="22">
        <v>670</v>
      </c>
      <c r="E56" s="22">
        <v>6085</v>
      </c>
      <c r="F56" s="39">
        <f t="shared" si="2"/>
        <v>0.11010682004930156</v>
      </c>
      <c r="G56" s="26"/>
    </row>
    <row r="57" spans="1:7" x14ac:dyDescent="0.25">
      <c r="A57" s="31">
        <v>3</v>
      </c>
      <c r="B57" s="32">
        <v>6</v>
      </c>
      <c r="C57" s="22">
        <v>7823</v>
      </c>
      <c r="D57" s="22">
        <v>774</v>
      </c>
      <c r="E57" s="22">
        <v>8597</v>
      </c>
      <c r="F57" s="39">
        <f t="shared" si="2"/>
        <v>9.003140630452483E-2</v>
      </c>
      <c r="G57" s="26"/>
    </row>
    <row r="58" spans="1:7" x14ac:dyDescent="0.25">
      <c r="A58" s="31">
        <v>4</v>
      </c>
      <c r="B58" s="32">
        <v>5</v>
      </c>
      <c r="C58" s="22">
        <v>9153</v>
      </c>
      <c r="D58" s="22">
        <v>1728</v>
      </c>
      <c r="E58" s="22">
        <v>10881</v>
      </c>
      <c r="F58" s="39">
        <f t="shared" si="2"/>
        <v>0.15880893300248139</v>
      </c>
      <c r="G58" s="26"/>
    </row>
    <row r="59" spans="1:7" x14ac:dyDescent="0.25">
      <c r="A59" s="31">
        <v>4</v>
      </c>
      <c r="B59" s="32">
        <v>6</v>
      </c>
      <c r="C59" s="22">
        <v>8750</v>
      </c>
      <c r="D59" s="22">
        <v>1548</v>
      </c>
      <c r="E59" s="22">
        <v>10298</v>
      </c>
      <c r="F59" s="39">
        <f t="shared" si="2"/>
        <v>0.15032045057292678</v>
      </c>
      <c r="G59" s="26"/>
    </row>
    <row r="60" spans="1:7" ht="13.8" customHeight="1" x14ac:dyDescent="0.25">
      <c r="A60" s="31">
        <v>5</v>
      </c>
      <c r="B60" s="32">
        <v>6</v>
      </c>
      <c r="C60" s="22">
        <v>8445</v>
      </c>
      <c r="D60" s="22">
        <v>1965</v>
      </c>
      <c r="E60" s="22">
        <v>10410</v>
      </c>
      <c r="F60" s="39">
        <f t="shared" si="2"/>
        <v>0.18876080691642652</v>
      </c>
      <c r="G60" s="26"/>
    </row>
    <row r="61" spans="1:7" ht="13.8" customHeight="1" x14ac:dyDescent="0.25">
      <c r="A61" s="34" t="s">
        <v>5</v>
      </c>
      <c r="B61" s="35"/>
      <c r="C61" s="21">
        <v>103213</v>
      </c>
      <c r="D61" s="21">
        <v>11476</v>
      </c>
      <c r="E61" s="21">
        <v>114689</v>
      </c>
      <c r="F61" s="39">
        <f t="shared" si="2"/>
        <v>0.10006190654727132</v>
      </c>
      <c r="G61" s="25"/>
    </row>
    <row r="62" spans="1:7" x14ac:dyDescent="0.25">
      <c r="B62" s="1"/>
      <c r="C62" s="14"/>
      <c r="D62" s="14"/>
      <c r="E62" s="14"/>
      <c r="F62" s="14"/>
      <c r="G62" s="14"/>
    </row>
    <row r="63" spans="1:7" x14ac:dyDescent="0.25">
      <c r="B63" s="2"/>
    </row>
    <row r="64" spans="1:7" x14ac:dyDescent="0.25">
      <c r="A64" s="27"/>
      <c r="B64" s="28"/>
      <c r="C64" s="15" t="s">
        <v>21</v>
      </c>
      <c r="D64" s="15"/>
      <c r="E64" s="16" t="s">
        <v>5</v>
      </c>
      <c r="F64" s="37" t="s">
        <v>27</v>
      </c>
      <c r="G64" s="23"/>
    </row>
    <row r="65" spans="1:7" x14ac:dyDescent="0.25">
      <c r="A65" s="29"/>
      <c r="B65" s="30"/>
      <c r="C65" s="17" t="s">
        <v>25</v>
      </c>
      <c r="D65" s="17" t="s">
        <v>26</v>
      </c>
      <c r="E65" s="16"/>
      <c r="F65" s="38"/>
      <c r="G65" s="23"/>
    </row>
    <row r="66" spans="1:7" x14ac:dyDescent="0.25">
      <c r="A66" s="31" t="s">
        <v>12</v>
      </c>
      <c r="B66" s="33" t="s">
        <v>13</v>
      </c>
      <c r="C66" s="19"/>
      <c r="D66" s="19"/>
      <c r="E66" s="19"/>
      <c r="F66" s="19"/>
      <c r="G66" s="24"/>
    </row>
    <row r="67" spans="1:7" x14ac:dyDescent="0.25">
      <c r="A67" s="31">
        <v>1</v>
      </c>
      <c r="B67" s="32">
        <v>2</v>
      </c>
      <c r="C67" s="21">
        <v>6619</v>
      </c>
      <c r="D67" s="21">
        <v>119</v>
      </c>
      <c r="E67" s="21">
        <v>6738</v>
      </c>
      <c r="F67" s="39">
        <f>D67/E67</f>
        <v>1.7661027010982489E-2</v>
      </c>
      <c r="G67" s="25"/>
    </row>
    <row r="68" spans="1:7" x14ac:dyDescent="0.25">
      <c r="A68" s="31">
        <v>1</v>
      </c>
      <c r="B68" s="32">
        <v>3</v>
      </c>
      <c r="C68" s="22">
        <v>3847</v>
      </c>
      <c r="D68" s="22">
        <v>76</v>
      </c>
      <c r="E68" s="22">
        <v>3923</v>
      </c>
      <c r="F68" s="39">
        <f t="shared" ref="F68:F82" si="3">D68/E68</f>
        <v>1.937292888095845E-2</v>
      </c>
      <c r="G68" s="26"/>
    </row>
    <row r="69" spans="1:7" x14ac:dyDescent="0.25">
      <c r="A69" s="31">
        <v>1</v>
      </c>
      <c r="B69" s="32">
        <v>4</v>
      </c>
      <c r="C69" s="22">
        <v>1060</v>
      </c>
      <c r="D69" s="22">
        <v>31</v>
      </c>
      <c r="E69" s="22">
        <v>1091</v>
      </c>
      <c r="F69" s="39">
        <f t="shared" si="3"/>
        <v>2.8414298808432631E-2</v>
      </c>
      <c r="G69" s="26"/>
    </row>
    <row r="70" spans="1:7" x14ac:dyDescent="0.25">
      <c r="A70" s="31">
        <v>1</v>
      </c>
      <c r="B70" s="32">
        <v>5</v>
      </c>
      <c r="C70" s="22">
        <v>330</v>
      </c>
      <c r="D70" s="22">
        <v>8</v>
      </c>
      <c r="E70" s="22">
        <v>338</v>
      </c>
      <c r="F70" s="39">
        <f t="shared" si="3"/>
        <v>2.3668639053254437E-2</v>
      </c>
      <c r="G70" s="26"/>
    </row>
    <row r="71" spans="1:7" x14ac:dyDescent="0.25">
      <c r="A71" s="31">
        <v>1</v>
      </c>
      <c r="B71" s="32">
        <v>6</v>
      </c>
      <c r="C71" s="22">
        <v>410</v>
      </c>
      <c r="D71" s="22">
        <v>11</v>
      </c>
      <c r="E71" s="22">
        <v>421</v>
      </c>
      <c r="F71" s="39">
        <f t="shared" si="3"/>
        <v>2.6128266033254157E-2</v>
      </c>
      <c r="G71" s="26"/>
    </row>
    <row r="72" spans="1:7" x14ac:dyDescent="0.25">
      <c r="A72" s="31">
        <v>2</v>
      </c>
      <c r="B72" s="32">
        <v>3</v>
      </c>
      <c r="C72" s="22">
        <v>20526</v>
      </c>
      <c r="D72" s="22">
        <v>1042</v>
      </c>
      <c r="E72" s="22">
        <v>21568</v>
      </c>
      <c r="F72" s="39">
        <f t="shared" si="3"/>
        <v>4.8312314540059347E-2</v>
      </c>
      <c r="G72" s="26"/>
    </row>
    <row r="73" spans="1:7" x14ac:dyDescent="0.25">
      <c r="A73" s="31">
        <v>2</v>
      </c>
      <c r="B73" s="32">
        <v>4</v>
      </c>
      <c r="C73" s="22">
        <v>6176</v>
      </c>
      <c r="D73" s="22">
        <v>308</v>
      </c>
      <c r="E73" s="22">
        <v>6484</v>
      </c>
      <c r="F73" s="39">
        <f t="shared" si="3"/>
        <v>4.7501542257865514E-2</v>
      </c>
      <c r="G73" s="26"/>
    </row>
    <row r="74" spans="1:7" x14ac:dyDescent="0.25">
      <c r="A74" s="31">
        <v>2</v>
      </c>
      <c r="B74" s="32">
        <v>5</v>
      </c>
      <c r="C74" s="22">
        <v>2748</v>
      </c>
      <c r="D74" s="22">
        <v>128</v>
      </c>
      <c r="E74" s="22">
        <v>2876</v>
      </c>
      <c r="F74" s="39">
        <f t="shared" si="3"/>
        <v>4.4506258692628649E-2</v>
      </c>
      <c r="G74" s="26"/>
    </row>
    <row r="75" spans="1:7" x14ac:dyDescent="0.25">
      <c r="A75" s="31">
        <v>2</v>
      </c>
      <c r="B75" s="32">
        <v>6</v>
      </c>
      <c r="C75" s="22">
        <v>2258</v>
      </c>
      <c r="D75" s="22">
        <v>88</v>
      </c>
      <c r="E75" s="22">
        <v>2346</v>
      </c>
      <c r="F75" s="39">
        <f t="shared" si="3"/>
        <v>3.7510656436487641E-2</v>
      </c>
      <c r="G75" s="26"/>
    </row>
    <row r="76" spans="1:7" x14ac:dyDescent="0.25">
      <c r="A76" s="31">
        <v>3</v>
      </c>
      <c r="B76" s="32">
        <v>4</v>
      </c>
      <c r="C76" s="22">
        <v>20689</v>
      </c>
      <c r="D76" s="22">
        <v>1944</v>
      </c>
      <c r="E76" s="22">
        <v>22633</v>
      </c>
      <c r="F76" s="39">
        <f t="shared" si="3"/>
        <v>8.5892281182344363E-2</v>
      </c>
      <c r="G76" s="26"/>
    </row>
    <row r="77" spans="1:7" x14ac:dyDescent="0.25">
      <c r="A77" s="31">
        <v>3</v>
      </c>
      <c r="B77" s="32">
        <v>5</v>
      </c>
      <c r="C77" s="22">
        <v>5648</v>
      </c>
      <c r="D77" s="22">
        <v>437</v>
      </c>
      <c r="E77" s="22">
        <v>6085</v>
      </c>
      <c r="F77" s="39">
        <f t="shared" si="3"/>
        <v>7.1815940838126535E-2</v>
      </c>
      <c r="G77" s="26"/>
    </row>
    <row r="78" spans="1:7" x14ac:dyDescent="0.25">
      <c r="A78" s="31">
        <v>3</v>
      </c>
      <c r="B78" s="32">
        <v>6</v>
      </c>
      <c r="C78" s="22">
        <v>7979</v>
      </c>
      <c r="D78" s="22">
        <v>618</v>
      </c>
      <c r="E78" s="22">
        <v>8597</v>
      </c>
      <c r="F78" s="39">
        <f t="shared" si="3"/>
        <v>7.1885541467953937E-2</v>
      </c>
      <c r="G78" s="26"/>
    </row>
    <row r="79" spans="1:7" x14ac:dyDescent="0.25">
      <c r="A79" s="31">
        <v>4</v>
      </c>
      <c r="B79" s="32">
        <v>5</v>
      </c>
      <c r="C79" s="22">
        <v>9795</v>
      </c>
      <c r="D79" s="22">
        <v>1086</v>
      </c>
      <c r="E79" s="22">
        <v>10881</v>
      </c>
      <c r="F79" s="39">
        <f t="shared" si="3"/>
        <v>9.9807003032809483E-2</v>
      </c>
      <c r="G79" s="26"/>
    </row>
    <row r="80" spans="1:7" x14ac:dyDescent="0.25">
      <c r="A80" s="31">
        <v>4</v>
      </c>
      <c r="B80" s="32">
        <v>6</v>
      </c>
      <c r="C80" s="22">
        <v>9353</v>
      </c>
      <c r="D80" s="22">
        <v>945</v>
      </c>
      <c r="E80" s="22">
        <v>10298</v>
      </c>
      <c r="F80" s="39">
        <f t="shared" si="3"/>
        <v>9.1765391338123906E-2</v>
      </c>
      <c r="G80" s="26"/>
    </row>
    <row r="81" spans="1:7" x14ac:dyDescent="0.25">
      <c r="A81" s="31">
        <v>5</v>
      </c>
      <c r="B81" s="32">
        <v>6</v>
      </c>
      <c r="C81" s="22">
        <v>9475</v>
      </c>
      <c r="D81" s="22">
        <v>935</v>
      </c>
      <c r="E81" s="22">
        <v>10410</v>
      </c>
      <c r="F81" s="39">
        <f t="shared" si="3"/>
        <v>8.9817483189241112E-2</v>
      </c>
      <c r="G81" s="26"/>
    </row>
    <row r="82" spans="1:7" x14ac:dyDescent="0.25">
      <c r="A82" s="34" t="s">
        <v>5</v>
      </c>
      <c r="B82" s="35"/>
      <c r="C82" s="21">
        <v>106913</v>
      </c>
      <c r="D82" s="21">
        <v>7776</v>
      </c>
      <c r="E82" s="21">
        <v>114689</v>
      </c>
      <c r="F82" s="39">
        <f t="shared" si="3"/>
        <v>6.780074811010646E-2</v>
      </c>
      <c r="G82" s="25"/>
    </row>
    <row r="83" spans="1:7" x14ac:dyDescent="0.25">
      <c r="B83" s="1"/>
      <c r="C83" s="14"/>
      <c r="D83" s="14"/>
      <c r="E83" s="14"/>
      <c r="F83" s="14"/>
      <c r="G83" s="14"/>
    </row>
    <row r="84" spans="1:7" x14ac:dyDescent="0.25">
      <c r="B84" s="2"/>
    </row>
    <row r="85" spans="1:7" x14ac:dyDescent="0.25">
      <c r="A85" s="27"/>
      <c r="B85" s="28"/>
      <c r="C85" s="15" t="s">
        <v>22</v>
      </c>
      <c r="D85" s="15"/>
      <c r="E85" s="16" t="s">
        <v>0</v>
      </c>
      <c r="F85" s="37" t="s">
        <v>27</v>
      </c>
      <c r="G85" s="23"/>
    </row>
    <row r="86" spans="1:7" x14ac:dyDescent="0.25">
      <c r="A86" s="29"/>
      <c r="B86" s="30"/>
      <c r="C86" s="17" t="s">
        <v>25</v>
      </c>
      <c r="D86" s="17" t="s">
        <v>26</v>
      </c>
      <c r="E86" s="16"/>
      <c r="F86" s="38"/>
      <c r="G86" s="23"/>
    </row>
    <row r="87" spans="1:7" x14ac:dyDescent="0.25">
      <c r="A87" s="31" t="s">
        <v>12</v>
      </c>
      <c r="B87" s="33" t="s">
        <v>13</v>
      </c>
      <c r="C87" s="19"/>
      <c r="D87" s="19"/>
      <c r="E87" s="19"/>
      <c r="F87" s="19"/>
      <c r="G87" s="24"/>
    </row>
    <row r="88" spans="1:7" ht="13.8" customHeight="1" x14ac:dyDescent="0.25">
      <c r="A88" s="31">
        <v>1</v>
      </c>
      <c r="B88" s="32">
        <v>2</v>
      </c>
      <c r="C88" s="21">
        <v>6737</v>
      </c>
      <c r="D88" s="21">
        <v>1</v>
      </c>
      <c r="E88" s="21">
        <v>6738</v>
      </c>
      <c r="F88" s="39">
        <f>D88/E88</f>
        <v>1.4841199168892847E-4</v>
      </c>
      <c r="G88" s="25"/>
    </row>
    <row r="89" spans="1:7" ht="13.8" customHeight="1" x14ac:dyDescent="0.25">
      <c r="A89" s="31">
        <v>1</v>
      </c>
      <c r="B89" s="32">
        <v>3</v>
      </c>
      <c r="C89" s="22">
        <v>3922</v>
      </c>
      <c r="D89" s="22">
        <v>1</v>
      </c>
      <c r="E89" s="22">
        <v>3923</v>
      </c>
      <c r="F89" s="39">
        <f t="shared" ref="F89:F103" si="4">D89/E89</f>
        <v>2.5490695895997962E-4</v>
      </c>
      <c r="G89" s="26"/>
    </row>
    <row r="90" spans="1:7" x14ac:dyDescent="0.25">
      <c r="A90" s="31">
        <v>1</v>
      </c>
      <c r="B90" s="32">
        <v>4</v>
      </c>
      <c r="C90" s="22">
        <v>1091</v>
      </c>
      <c r="D90" s="22">
        <v>0</v>
      </c>
      <c r="E90" s="22">
        <v>1091</v>
      </c>
      <c r="F90" s="39">
        <f t="shared" si="4"/>
        <v>0</v>
      </c>
      <c r="G90" s="26"/>
    </row>
    <row r="91" spans="1:7" x14ac:dyDescent="0.25">
      <c r="A91" s="31">
        <v>1</v>
      </c>
      <c r="B91" s="32">
        <v>5</v>
      </c>
      <c r="C91" s="22">
        <v>338</v>
      </c>
      <c r="D91" s="22">
        <v>0</v>
      </c>
      <c r="E91" s="22">
        <v>338</v>
      </c>
      <c r="F91" s="39">
        <f t="shared" si="4"/>
        <v>0</v>
      </c>
      <c r="G91" s="26"/>
    </row>
    <row r="92" spans="1:7" x14ac:dyDescent="0.25">
      <c r="A92" s="31">
        <v>1</v>
      </c>
      <c r="B92" s="32">
        <v>6</v>
      </c>
      <c r="C92" s="22">
        <v>421</v>
      </c>
      <c r="D92" s="22">
        <v>0</v>
      </c>
      <c r="E92" s="22">
        <v>421</v>
      </c>
      <c r="F92" s="39">
        <f t="shared" si="4"/>
        <v>0</v>
      </c>
      <c r="G92" s="26"/>
    </row>
    <row r="93" spans="1:7" x14ac:dyDescent="0.25">
      <c r="A93" s="31">
        <v>2</v>
      </c>
      <c r="B93" s="32">
        <v>3</v>
      </c>
      <c r="C93" s="22">
        <v>21549</v>
      </c>
      <c r="D93" s="22">
        <v>19</v>
      </c>
      <c r="E93" s="22">
        <v>21568</v>
      </c>
      <c r="F93" s="39">
        <f t="shared" si="4"/>
        <v>8.8093471810089016E-4</v>
      </c>
      <c r="G93" s="26"/>
    </row>
    <row r="94" spans="1:7" x14ac:dyDescent="0.25">
      <c r="A94" s="31">
        <v>2</v>
      </c>
      <c r="B94" s="32">
        <v>4</v>
      </c>
      <c r="C94" s="22">
        <v>6475</v>
      </c>
      <c r="D94" s="22">
        <v>9</v>
      </c>
      <c r="E94" s="22">
        <v>6484</v>
      </c>
      <c r="F94" s="39">
        <f t="shared" si="4"/>
        <v>1.3880320789636028E-3</v>
      </c>
      <c r="G94" s="26"/>
    </row>
    <row r="95" spans="1:7" x14ac:dyDescent="0.25">
      <c r="A95" s="31">
        <v>2</v>
      </c>
      <c r="B95" s="32">
        <v>5</v>
      </c>
      <c r="C95" s="22">
        <v>2871</v>
      </c>
      <c r="D95" s="22">
        <v>5</v>
      </c>
      <c r="E95" s="22">
        <v>2876</v>
      </c>
      <c r="F95" s="39">
        <f t="shared" si="4"/>
        <v>1.7385257301808068E-3</v>
      </c>
      <c r="G95" s="26"/>
    </row>
    <row r="96" spans="1:7" x14ac:dyDescent="0.25">
      <c r="A96" s="31">
        <v>2</v>
      </c>
      <c r="B96" s="32">
        <v>6</v>
      </c>
      <c r="C96" s="22">
        <v>2343</v>
      </c>
      <c r="D96" s="22">
        <v>3</v>
      </c>
      <c r="E96" s="22">
        <v>2346</v>
      </c>
      <c r="F96" s="39">
        <f t="shared" si="4"/>
        <v>1.2787723785166241E-3</v>
      </c>
      <c r="G96" s="26"/>
    </row>
    <row r="97" spans="1:7" x14ac:dyDescent="0.25">
      <c r="A97" s="31">
        <v>3</v>
      </c>
      <c r="B97" s="32">
        <v>4</v>
      </c>
      <c r="C97" s="22">
        <v>22585</v>
      </c>
      <c r="D97" s="22">
        <v>48</v>
      </c>
      <c r="E97" s="22">
        <v>22633</v>
      </c>
      <c r="F97" s="39">
        <f t="shared" si="4"/>
        <v>2.1207970662307251E-3</v>
      </c>
      <c r="G97" s="26"/>
    </row>
    <row r="98" spans="1:7" x14ac:dyDescent="0.25">
      <c r="A98" s="31">
        <v>3</v>
      </c>
      <c r="B98" s="32">
        <v>5</v>
      </c>
      <c r="C98" s="22">
        <v>6069</v>
      </c>
      <c r="D98" s="22">
        <v>16</v>
      </c>
      <c r="E98" s="22">
        <v>6085</v>
      </c>
      <c r="F98" s="39">
        <f t="shared" si="4"/>
        <v>2.629416598192276E-3</v>
      </c>
      <c r="G98" s="26"/>
    </row>
    <row r="99" spans="1:7" x14ac:dyDescent="0.25">
      <c r="A99" s="31">
        <v>3</v>
      </c>
      <c r="B99" s="32">
        <v>6</v>
      </c>
      <c r="C99" s="22">
        <v>8574</v>
      </c>
      <c r="D99" s="22">
        <v>23</v>
      </c>
      <c r="E99" s="22">
        <v>8597</v>
      </c>
      <c r="F99" s="39">
        <f t="shared" si="4"/>
        <v>2.6753518669303247E-3</v>
      </c>
      <c r="G99" s="26"/>
    </row>
    <row r="100" spans="1:7" x14ac:dyDescent="0.25">
      <c r="A100" s="31">
        <v>4</v>
      </c>
      <c r="B100" s="32">
        <v>5</v>
      </c>
      <c r="C100" s="22">
        <v>10853</v>
      </c>
      <c r="D100" s="22">
        <v>28</v>
      </c>
      <c r="E100" s="22">
        <v>10881</v>
      </c>
      <c r="F100" s="39">
        <f t="shared" si="4"/>
        <v>2.5732928958735412E-3</v>
      </c>
      <c r="G100" s="26"/>
    </row>
    <row r="101" spans="1:7" x14ac:dyDescent="0.25">
      <c r="A101" s="31">
        <v>4</v>
      </c>
      <c r="B101" s="32">
        <v>6</v>
      </c>
      <c r="C101" s="22">
        <v>10276</v>
      </c>
      <c r="D101" s="22">
        <v>22</v>
      </c>
      <c r="E101" s="22">
        <v>10298</v>
      </c>
      <c r="F101" s="39">
        <f t="shared" si="4"/>
        <v>2.1363371528452125E-3</v>
      </c>
      <c r="G101" s="26"/>
    </row>
    <row r="102" spans="1:7" x14ac:dyDescent="0.25">
      <c r="A102" s="31">
        <v>5</v>
      </c>
      <c r="B102" s="32">
        <v>6</v>
      </c>
      <c r="C102" s="22">
        <v>10392</v>
      </c>
      <c r="D102" s="22">
        <v>18</v>
      </c>
      <c r="E102" s="22">
        <v>10410</v>
      </c>
      <c r="F102" s="39">
        <f t="shared" si="4"/>
        <v>1.7291066282420749E-3</v>
      </c>
      <c r="G102" s="26"/>
    </row>
    <row r="103" spans="1:7" x14ac:dyDescent="0.25">
      <c r="A103" s="34" t="s">
        <v>5</v>
      </c>
      <c r="B103" s="35"/>
      <c r="C103" s="21">
        <v>114496</v>
      </c>
      <c r="D103" s="21">
        <v>193</v>
      </c>
      <c r="E103" s="21">
        <v>114689</v>
      </c>
      <c r="F103" s="39">
        <f t="shared" si="4"/>
        <v>1.6828117779385992E-3</v>
      </c>
      <c r="G103" s="25"/>
    </row>
    <row r="104" spans="1:7" x14ac:dyDescent="0.25">
      <c r="B104" s="1"/>
      <c r="C104" s="14"/>
      <c r="D104" s="14"/>
      <c r="E104" s="14"/>
      <c r="F104" s="14"/>
      <c r="G104" s="14"/>
    </row>
    <row r="105" spans="1:7" x14ac:dyDescent="0.25">
      <c r="B105" s="2"/>
    </row>
    <row r="106" spans="1:7" x14ac:dyDescent="0.25">
      <c r="A106" s="27"/>
      <c r="B106" s="28"/>
      <c r="C106" s="15" t="s">
        <v>23</v>
      </c>
      <c r="D106" s="15"/>
      <c r="E106" s="16" t="s">
        <v>5</v>
      </c>
      <c r="F106" s="37" t="s">
        <v>27</v>
      </c>
      <c r="G106" s="23"/>
    </row>
    <row r="107" spans="1:7" x14ac:dyDescent="0.25">
      <c r="A107" s="29"/>
      <c r="B107" s="30"/>
      <c r="C107" s="17" t="s">
        <v>25</v>
      </c>
      <c r="D107" s="17" t="s">
        <v>26</v>
      </c>
      <c r="E107" s="16"/>
      <c r="F107" s="38"/>
      <c r="G107" s="23"/>
    </row>
    <row r="108" spans="1:7" x14ac:dyDescent="0.25">
      <c r="A108" s="31" t="s">
        <v>12</v>
      </c>
      <c r="B108" s="33" t="s">
        <v>13</v>
      </c>
      <c r="C108" s="19"/>
      <c r="D108" s="19"/>
      <c r="E108" s="19"/>
      <c r="F108" s="19"/>
      <c r="G108" s="24"/>
    </row>
    <row r="109" spans="1:7" x14ac:dyDescent="0.25">
      <c r="A109" s="31">
        <v>1</v>
      </c>
      <c r="B109" s="32">
        <v>2</v>
      </c>
      <c r="C109" s="21">
        <v>6694</v>
      </c>
      <c r="D109" s="21">
        <v>44</v>
      </c>
      <c r="E109" s="21">
        <v>6738</v>
      </c>
      <c r="F109" s="39">
        <f>D109/E109</f>
        <v>6.5301276343128524E-3</v>
      </c>
      <c r="G109" s="25"/>
    </row>
    <row r="110" spans="1:7" ht="13.8" customHeight="1" x14ac:dyDescent="0.25">
      <c r="A110" s="31">
        <v>1</v>
      </c>
      <c r="B110" s="32">
        <v>3</v>
      </c>
      <c r="C110" s="22">
        <v>3894</v>
      </c>
      <c r="D110" s="22">
        <v>29</v>
      </c>
      <c r="E110" s="22">
        <v>3923</v>
      </c>
      <c r="F110" s="39">
        <f t="shared" ref="F110:F124" si="5">D110/E110</f>
        <v>7.3923018098394086E-3</v>
      </c>
      <c r="G110" s="26"/>
    </row>
    <row r="111" spans="1:7" ht="13.8" customHeight="1" x14ac:dyDescent="0.25">
      <c r="A111" s="31">
        <v>1</v>
      </c>
      <c r="B111" s="32">
        <v>4</v>
      </c>
      <c r="C111" s="22">
        <v>1082</v>
      </c>
      <c r="D111" s="22">
        <v>9</v>
      </c>
      <c r="E111" s="22">
        <v>1091</v>
      </c>
      <c r="F111" s="39">
        <f t="shared" si="5"/>
        <v>8.2493125572868919E-3</v>
      </c>
      <c r="G111" s="26"/>
    </row>
    <row r="112" spans="1:7" x14ac:dyDescent="0.25">
      <c r="A112" s="31">
        <v>1</v>
      </c>
      <c r="B112" s="32">
        <v>5</v>
      </c>
      <c r="C112" s="22">
        <v>336</v>
      </c>
      <c r="D112" s="22">
        <v>2</v>
      </c>
      <c r="E112" s="22">
        <v>338</v>
      </c>
      <c r="F112" s="39">
        <f t="shared" si="5"/>
        <v>5.9171597633136093E-3</v>
      </c>
      <c r="G112" s="26"/>
    </row>
    <row r="113" spans="1:7" x14ac:dyDescent="0.25">
      <c r="A113" s="31">
        <v>1</v>
      </c>
      <c r="B113" s="32">
        <v>6</v>
      </c>
      <c r="C113" s="22">
        <v>418</v>
      </c>
      <c r="D113" s="22">
        <v>3</v>
      </c>
      <c r="E113" s="22">
        <v>421</v>
      </c>
      <c r="F113" s="39">
        <f t="shared" si="5"/>
        <v>7.1258907363420431E-3</v>
      </c>
      <c r="G113" s="26"/>
    </row>
    <row r="114" spans="1:7" x14ac:dyDescent="0.25">
      <c r="A114" s="31">
        <v>2</v>
      </c>
      <c r="B114" s="32">
        <v>3</v>
      </c>
      <c r="C114" s="22">
        <v>21284</v>
      </c>
      <c r="D114" s="22">
        <v>284</v>
      </c>
      <c r="E114" s="22">
        <v>21568</v>
      </c>
      <c r="F114" s="39">
        <f t="shared" si="5"/>
        <v>1.3167655786350149E-2</v>
      </c>
      <c r="G114" s="26"/>
    </row>
    <row r="115" spans="1:7" x14ac:dyDescent="0.25">
      <c r="A115" s="31">
        <v>2</v>
      </c>
      <c r="B115" s="32">
        <v>4</v>
      </c>
      <c r="C115" s="22">
        <v>6413</v>
      </c>
      <c r="D115" s="22">
        <v>71</v>
      </c>
      <c r="E115" s="22">
        <v>6484</v>
      </c>
      <c r="F115" s="39">
        <f t="shared" si="5"/>
        <v>1.095003084515731E-2</v>
      </c>
      <c r="G115" s="26"/>
    </row>
    <row r="116" spans="1:7" x14ac:dyDescent="0.25">
      <c r="A116" s="31">
        <v>2</v>
      </c>
      <c r="B116" s="32">
        <v>5</v>
      </c>
      <c r="C116" s="22">
        <v>2855</v>
      </c>
      <c r="D116" s="22">
        <v>21</v>
      </c>
      <c r="E116" s="22">
        <v>2876</v>
      </c>
      <c r="F116" s="39">
        <f t="shared" si="5"/>
        <v>7.3018080667593879E-3</v>
      </c>
      <c r="G116" s="26"/>
    </row>
    <row r="117" spans="1:7" x14ac:dyDescent="0.25">
      <c r="A117" s="31">
        <v>2</v>
      </c>
      <c r="B117" s="32">
        <v>6</v>
      </c>
      <c r="C117" s="22">
        <v>2318</v>
      </c>
      <c r="D117" s="22">
        <v>28</v>
      </c>
      <c r="E117" s="22">
        <v>2346</v>
      </c>
      <c r="F117" s="39">
        <f t="shared" si="5"/>
        <v>1.1935208866155157E-2</v>
      </c>
      <c r="G117" s="26"/>
    </row>
    <row r="118" spans="1:7" x14ac:dyDescent="0.25">
      <c r="A118" s="31">
        <v>3</v>
      </c>
      <c r="B118" s="32">
        <v>4</v>
      </c>
      <c r="C118" s="22">
        <v>22196</v>
      </c>
      <c r="D118" s="22">
        <v>437</v>
      </c>
      <c r="E118" s="22">
        <v>22633</v>
      </c>
      <c r="F118" s="39">
        <f t="shared" si="5"/>
        <v>1.9308089957142227E-2</v>
      </c>
      <c r="G118" s="26"/>
    </row>
    <row r="119" spans="1:7" x14ac:dyDescent="0.25">
      <c r="A119" s="31">
        <v>3</v>
      </c>
      <c r="B119" s="32">
        <v>5</v>
      </c>
      <c r="C119" s="22">
        <v>6004</v>
      </c>
      <c r="D119" s="22">
        <v>81</v>
      </c>
      <c r="E119" s="22">
        <v>6085</v>
      </c>
      <c r="F119" s="39">
        <f t="shared" si="5"/>
        <v>1.3311421528348398E-2</v>
      </c>
      <c r="G119" s="26"/>
    </row>
    <row r="120" spans="1:7" x14ac:dyDescent="0.25">
      <c r="A120" s="31">
        <v>3</v>
      </c>
      <c r="B120" s="32">
        <v>6</v>
      </c>
      <c r="C120" s="22">
        <v>8449</v>
      </c>
      <c r="D120" s="22">
        <v>148</v>
      </c>
      <c r="E120" s="22">
        <v>8597</v>
      </c>
      <c r="F120" s="39">
        <f t="shared" si="5"/>
        <v>1.7215307665464696E-2</v>
      </c>
      <c r="G120" s="26"/>
    </row>
    <row r="121" spans="1:7" x14ac:dyDescent="0.25">
      <c r="A121" s="31">
        <v>4</v>
      </c>
      <c r="B121" s="32">
        <v>5</v>
      </c>
      <c r="C121" s="22">
        <v>10750</v>
      </c>
      <c r="D121" s="22">
        <v>131</v>
      </c>
      <c r="E121" s="22">
        <v>10881</v>
      </c>
      <c r="F121" s="39">
        <f t="shared" si="5"/>
        <v>1.2039334619979782E-2</v>
      </c>
      <c r="G121" s="26"/>
    </row>
    <row r="122" spans="1:7" x14ac:dyDescent="0.25">
      <c r="A122" s="31">
        <v>4</v>
      </c>
      <c r="B122" s="32">
        <v>6</v>
      </c>
      <c r="C122" s="22">
        <v>10173</v>
      </c>
      <c r="D122" s="22">
        <v>125</v>
      </c>
      <c r="E122" s="22">
        <v>10298</v>
      </c>
      <c r="F122" s="39">
        <f t="shared" si="5"/>
        <v>1.2138279277529617E-2</v>
      </c>
      <c r="G122" s="26"/>
    </row>
    <row r="123" spans="1:7" x14ac:dyDescent="0.25">
      <c r="A123" s="31">
        <v>5</v>
      </c>
      <c r="B123" s="32">
        <v>6</v>
      </c>
      <c r="C123" s="22">
        <v>10279</v>
      </c>
      <c r="D123" s="22">
        <v>131</v>
      </c>
      <c r="E123" s="22">
        <v>10410</v>
      </c>
      <c r="F123" s="39">
        <f t="shared" si="5"/>
        <v>1.2584053794428434E-2</v>
      </c>
      <c r="G123" s="26"/>
    </row>
    <row r="124" spans="1:7" x14ac:dyDescent="0.25">
      <c r="A124" s="34" t="s">
        <v>5</v>
      </c>
      <c r="B124" s="35"/>
      <c r="C124" s="21">
        <v>113145</v>
      </c>
      <c r="D124" s="21">
        <v>1544</v>
      </c>
      <c r="E124" s="21">
        <v>114689</v>
      </c>
      <c r="F124" s="39">
        <f t="shared" si="5"/>
        <v>1.3462494223508793E-2</v>
      </c>
      <c r="G124" s="25"/>
    </row>
    <row r="125" spans="1:7" x14ac:dyDescent="0.25">
      <c r="B125" s="1"/>
      <c r="C125" s="14"/>
      <c r="D125" s="14"/>
      <c r="E125" s="14"/>
      <c r="F125" s="14"/>
      <c r="G125" s="14"/>
    </row>
  </sheetData>
  <mergeCells count="38">
    <mergeCell ref="J21:O21"/>
    <mergeCell ref="P21:P22"/>
    <mergeCell ref="H39:I39"/>
    <mergeCell ref="A103:B103"/>
    <mergeCell ref="A106:B107"/>
    <mergeCell ref="C106:D106"/>
    <mergeCell ref="E106:E107"/>
    <mergeCell ref="A124:B124"/>
    <mergeCell ref="F22:F23"/>
    <mergeCell ref="F43:F44"/>
    <mergeCell ref="F64:F65"/>
    <mergeCell ref="F85:F86"/>
    <mergeCell ref="F106:F107"/>
    <mergeCell ref="A61:B61"/>
    <mergeCell ref="A64:B65"/>
    <mergeCell ref="C64:D64"/>
    <mergeCell ref="E64:E65"/>
    <mergeCell ref="A82:B82"/>
    <mergeCell ref="A85:B86"/>
    <mergeCell ref="C85:D85"/>
    <mergeCell ref="E85:E86"/>
    <mergeCell ref="A40:B40"/>
    <mergeCell ref="A43:B44"/>
    <mergeCell ref="C43:D43"/>
    <mergeCell ref="E43:E44"/>
    <mergeCell ref="A19:B19"/>
    <mergeCell ref="H19:I19"/>
    <mergeCell ref="A22:B23"/>
    <mergeCell ref="C22:D22"/>
    <mergeCell ref="E22:E23"/>
    <mergeCell ref="H21:I22"/>
    <mergeCell ref="A1:B2"/>
    <mergeCell ref="C1:D1"/>
    <mergeCell ref="E1:E2"/>
    <mergeCell ref="H1:I2"/>
    <mergeCell ref="J1:O1"/>
    <mergeCell ref="P1:P2"/>
    <mergeCell ref="F1:F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F3DC-EB4A-4C6B-9AC5-770E8460D6F0}">
  <dimension ref="A1:N111"/>
  <sheetViews>
    <sheetView rightToLeft="1" workbookViewId="0">
      <selection activeCell="F1" sqref="F1"/>
    </sheetView>
  </sheetViews>
  <sheetFormatPr defaultRowHeight="13.8" x14ac:dyDescent="0.25"/>
  <cols>
    <col min="1" max="1" width="14.3984375" bestFit="1" customWidth="1"/>
    <col min="2" max="4" width="7.3984375" bestFit="1" customWidth="1"/>
    <col min="5" max="5" width="15.09765625" bestFit="1" customWidth="1"/>
    <col min="7" max="7" width="14.3984375" customWidth="1"/>
    <col min="8" max="13" width="6.796875" bestFit="1" customWidth="1"/>
    <col min="14" max="14" width="7.3984375" bestFit="1" customWidth="1"/>
  </cols>
  <sheetData>
    <row r="1" spans="1:14" ht="13.8" customHeight="1" x14ac:dyDescent="0.25">
      <c r="A1" s="15"/>
      <c r="B1" s="15" t="s">
        <v>18</v>
      </c>
      <c r="C1" s="15"/>
      <c r="D1" s="16" t="s">
        <v>5</v>
      </c>
      <c r="E1" s="37" t="s">
        <v>27</v>
      </c>
      <c r="G1" s="15"/>
      <c r="H1" s="15" t="s">
        <v>24</v>
      </c>
      <c r="I1" s="15"/>
      <c r="J1" s="15"/>
      <c r="K1" s="15"/>
      <c r="L1" s="15"/>
      <c r="M1" s="15"/>
      <c r="N1" s="16" t="s">
        <v>5</v>
      </c>
    </row>
    <row r="2" spans="1:14" x14ac:dyDescent="0.25">
      <c r="A2" s="15"/>
      <c r="B2" s="17" t="s">
        <v>25</v>
      </c>
      <c r="C2" s="17" t="s">
        <v>26</v>
      </c>
      <c r="D2" s="16"/>
      <c r="E2" s="38"/>
      <c r="G2" s="15"/>
      <c r="H2" s="36">
        <v>0</v>
      </c>
      <c r="I2" s="36">
        <v>1</v>
      </c>
      <c r="J2" s="36">
        <v>2</v>
      </c>
      <c r="K2" s="36">
        <v>3</v>
      </c>
      <c r="L2" s="36">
        <v>4</v>
      </c>
      <c r="M2" s="36">
        <v>5</v>
      </c>
      <c r="N2" s="16"/>
    </row>
    <row r="3" spans="1:14" ht="41.4" x14ac:dyDescent="0.25">
      <c r="A3" s="20" t="s">
        <v>14</v>
      </c>
      <c r="B3" s="19"/>
      <c r="C3" s="19"/>
      <c r="D3" s="19"/>
      <c r="E3" s="19"/>
      <c r="G3" s="20" t="s">
        <v>14</v>
      </c>
      <c r="H3" s="19"/>
      <c r="I3" s="19"/>
      <c r="J3" s="19"/>
      <c r="K3" s="19"/>
      <c r="L3" s="19"/>
      <c r="M3" s="19"/>
      <c r="N3" s="19"/>
    </row>
    <row r="4" spans="1:14" x14ac:dyDescent="0.25">
      <c r="A4" s="18">
        <v>1</v>
      </c>
      <c r="B4" s="21">
        <v>8369</v>
      </c>
      <c r="C4" s="21">
        <v>63861</v>
      </c>
      <c r="D4" s="21">
        <v>72230</v>
      </c>
      <c r="E4" s="39">
        <f>C4/D4</f>
        <v>0.88413401633670219</v>
      </c>
      <c r="G4" s="18">
        <v>1</v>
      </c>
      <c r="H4" s="21">
        <v>7046</v>
      </c>
      <c r="I4" s="21">
        <v>51855</v>
      </c>
      <c r="J4" s="21">
        <v>11424</v>
      </c>
      <c r="K4" s="21">
        <v>1773</v>
      </c>
      <c r="L4" s="21">
        <v>132</v>
      </c>
      <c r="M4" s="21">
        <v>0</v>
      </c>
      <c r="N4" s="21">
        <v>72230</v>
      </c>
    </row>
    <row r="5" spans="1:14" x14ac:dyDescent="0.25">
      <c r="A5" s="18">
        <v>2</v>
      </c>
      <c r="B5" s="22">
        <v>3983</v>
      </c>
      <c r="C5" s="22">
        <v>22807</v>
      </c>
      <c r="D5" s="22">
        <v>26790</v>
      </c>
      <c r="E5" s="39">
        <f t="shared" ref="E5:E9" si="0">C5/D5</f>
        <v>0.85132512131392313</v>
      </c>
      <c r="G5" s="18">
        <v>2</v>
      </c>
      <c r="H5" s="22">
        <v>3454</v>
      </c>
      <c r="I5" s="22">
        <v>18620</v>
      </c>
      <c r="J5" s="22">
        <v>4120</v>
      </c>
      <c r="K5" s="22">
        <v>556</v>
      </c>
      <c r="L5" s="22">
        <v>40</v>
      </c>
      <c r="M5" s="22">
        <v>0</v>
      </c>
      <c r="N5" s="22">
        <v>26790</v>
      </c>
    </row>
    <row r="6" spans="1:14" x14ac:dyDescent="0.25">
      <c r="A6" s="18">
        <v>3</v>
      </c>
      <c r="B6" s="22">
        <v>1648</v>
      </c>
      <c r="C6" s="22">
        <v>10916</v>
      </c>
      <c r="D6" s="22">
        <v>12564</v>
      </c>
      <c r="E6" s="39">
        <f t="shared" si="0"/>
        <v>0.868831582298631</v>
      </c>
      <c r="G6" s="18">
        <v>3</v>
      </c>
      <c r="H6" s="22">
        <v>1364</v>
      </c>
      <c r="I6" s="22">
        <v>9075</v>
      </c>
      <c r="J6" s="22">
        <v>1874</v>
      </c>
      <c r="K6" s="22">
        <v>240</v>
      </c>
      <c r="L6" s="22">
        <v>10</v>
      </c>
      <c r="M6" s="22">
        <v>1</v>
      </c>
      <c r="N6" s="22">
        <v>12564</v>
      </c>
    </row>
    <row r="7" spans="1:14" x14ac:dyDescent="0.25">
      <c r="A7" s="18">
        <v>4</v>
      </c>
      <c r="B7" s="22">
        <v>458</v>
      </c>
      <c r="C7" s="22">
        <v>2226</v>
      </c>
      <c r="D7" s="22">
        <v>2684</v>
      </c>
      <c r="E7" s="39">
        <f t="shared" si="0"/>
        <v>0.8293591654247392</v>
      </c>
      <c r="G7" s="18">
        <v>4</v>
      </c>
      <c r="H7" s="22">
        <v>382</v>
      </c>
      <c r="I7" s="22">
        <v>1997</v>
      </c>
      <c r="J7" s="22">
        <v>284</v>
      </c>
      <c r="K7" s="22">
        <v>19</v>
      </c>
      <c r="L7" s="22">
        <v>2</v>
      </c>
      <c r="M7" s="22">
        <v>0</v>
      </c>
      <c r="N7" s="22">
        <v>2684</v>
      </c>
    </row>
    <row r="8" spans="1:14" x14ac:dyDescent="0.25">
      <c r="A8" s="18">
        <v>5</v>
      </c>
      <c r="B8" s="22">
        <v>199</v>
      </c>
      <c r="C8" s="22">
        <v>222</v>
      </c>
      <c r="D8" s="22">
        <v>421</v>
      </c>
      <c r="E8" s="39">
        <f t="shared" si="0"/>
        <v>0.52731591448931114</v>
      </c>
      <c r="G8" s="18">
        <v>5</v>
      </c>
      <c r="H8" s="22">
        <v>193</v>
      </c>
      <c r="I8" s="22">
        <v>202</v>
      </c>
      <c r="J8" s="22">
        <v>24</v>
      </c>
      <c r="K8" s="22">
        <v>1</v>
      </c>
      <c r="L8" s="22">
        <v>1</v>
      </c>
      <c r="M8" s="22">
        <v>0</v>
      </c>
      <c r="N8" s="22">
        <v>421</v>
      </c>
    </row>
    <row r="9" spans="1:14" x14ac:dyDescent="0.25">
      <c r="A9" s="20" t="s">
        <v>5</v>
      </c>
      <c r="B9" s="21">
        <v>14657</v>
      </c>
      <c r="C9" s="21">
        <v>100032</v>
      </c>
      <c r="D9" s="21">
        <v>114689</v>
      </c>
      <c r="E9" s="39">
        <f t="shared" si="0"/>
        <v>0.87220221642877693</v>
      </c>
      <c r="G9" s="20" t="s">
        <v>5</v>
      </c>
      <c r="H9" s="21">
        <v>12439</v>
      </c>
      <c r="I9" s="21">
        <v>81749</v>
      </c>
      <c r="J9" s="21">
        <v>17726</v>
      </c>
      <c r="K9" s="21">
        <v>2589</v>
      </c>
      <c r="L9" s="21">
        <v>185</v>
      </c>
      <c r="M9" s="21">
        <v>1</v>
      </c>
      <c r="N9" s="21">
        <v>114689</v>
      </c>
    </row>
    <row r="10" spans="1:14" x14ac:dyDescent="0.25">
      <c r="A10" s="1"/>
      <c r="B10" s="14"/>
      <c r="C10" s="14"/>
      <c r="D10" s="14"/>
      <c r="E10" s="14"/>
      <c r="G10" s="1"/>
      <c r="H10" s="14"/>
      <c r="I10" s="14"/>
      <c r="J10" s="14"/>
      <c r="K10" s="14"/>
      <c r="L10" s="14"/>
      <c r="M10" s="14"/>
      <c r="N10" s="14"/>
    </row>
    <row r="11" spans="1:14" x14ac:dyDescent="0.25">
      <c r="A11" s="2"/>
    </row>
    <row r="12" spans="1:14" ht="13.8" customHeight="1" x14ac:dyDescent="0.25">
      <c r="A12" s="15"/>
      <c r="B12" s="15" t="s">
        <v>19</v>
      </c>
      <c r="C12" s="15"/>
      <c r="D12" s="16" t="s">
        <v>5</v>
      </c>
      <c r="E12" s="37" t="s">
        <v>27</v>
      </c>
      <c r="G12" s="15"/>
      <c r="H12" s="15" t="s">
        <v>24</v>
      </c>
      <c r="I12" s="15"/>
      <c r="J12" s="15"/>
      <c r="K12" s="15"/>
      <c r="L12" s="15"/>
      <c r="M12" s="15"/>
      <c r="N12" s="16" t="s">
        <v>5</v>
      </c>
    </row>
    <row r="13" spans="1:14" ht="13.8" customHeight="1" x14ac:dyDescent="0.25">
      <c r="A13" s="15"/>
      <c r="B13" s="17" t="s">
        <v>25</v>
      </c>
      <c r="C13" s="17" t="s">
        <v>26</v>
      </c>
      <c r="D13" s="16"/>
      <c r="E13" s="38"/>
      <c r="G13" s="15"/>
      <c r="H13" s="36">
        <v>0</v>
      </c>
      <c r="I13" s="36">
        <v>1</v>
      </c>
      <c r="J13" s="36">
        <v>2</v>
      </c>
      <c r="K13" s="36">
        <v>3</v>
      </c>
      <c r="L13" s="36">
        <v>4</v>
      </c>
      <c r="M13" s="36">
        <v>5</v>
      </c>
      <c r="N13" s="16"/>
    </row>
    <row r="14" spans="1:14" ht="13.8" customHeight="1" x14ac:dyDescent="0.25">
      <c r="A14" s="20" t="s">
        <v>14</v>
      </c>
      <c r="B14" s="19"/>
      <c r="C14" s="19"/>
      <c r="D14" s="19"/>
      <c r="E14" s="19"/>
      <c r="G14" s="20" t="s">
        <v>14</v>
      </c>
      <c r="H14" s="19"/>
      <c r="I14" s="19"/>
      <c r="J14" s="19"/>
      <c r="K14" s="19"/>
      <c r="L14" s="19"/>
      <c r="M14" s="19"/>
      <c r="N14" s="19"/>
    </row>
    <row r="15" spans="1:14" x14ac:dyDescent="0.25">
      <c r="A15" s="18">
        <v>1</v>
      </c>
      <c r="B15" s="21">
        <v>69304</v>
      </c>
      <c r="C15" s="21">
        <v>2926</v>
      </c>
      <c r="D15" s="21">
        <v>72230</v>
      </c>
      <c r="E15" s="39">
        <f>C15/D15</f>
        <v>4.0509483594074483E-2</v>
      </c>
      <c r="G15" s="18">
        <v>1</v>
      </c>
      <c r="H15" s="39">
        <f>H4/N4</f>
        <v>9.7549494669804795E-2</v>
      </c>
      <c r="I15" s="39">
        <f>I4/N4</f>
        <v>0.71791499376990175</v>
      </c>
      <c r="J15" s="39">
        <f>J4/N4</f>
        <v>0.15816142876920947</v>
      </c>
      <c r="K15" s="39">
        <f>K4/N4</f>
        <v>2.4546587290599473E-2</v>
      </c>
      <c r="L15" s="39">
        <f>L4/N4</f>
        <v>1.8274955004845632E-3</v>
      </c>
      <c r="M15" s="39">
        <f>M4/N4</f>
        <v>0</v>
      </c>
      <c r="N15" s="39">
        <f>SUM(H15:M15)</f>
        <v>1</v>
      </c>
    </row>
    <row r="16" spans="1:14" x14ac:dyDescent="0.25">
      <c r="A16" s="18">
        <v>2</v>
      </c>
      <c r="B16" s="22">
        <v>25814</v>
      </c>
      <c r="C16" s="22">
        <v>976</v>
      </c>
      <c r="D16" s="22">
        <v>26790</v>
      </c>
      <c r="E16" s="39">
        <f t="shared" ref="E16:E20" si="1">C16/D16</f>
        <v>3.6431504292646508E-2</v>
      </c>
      <c r="G16" s="18">
        <v>2</v>
      </c>
      <c r="H16" s="39">
        <f>H5/N5</f>
        <v>0.12892870474057483</v>
      </c>
      <c r="I16" s="39">
        <f>I5/N5</f>
        <v>0.69503546099290781</v>
      </c>
      <c r="J16" s="39">
        <f>J5/N5</f>
        <v>0.1537887271369914</v>
      </c>
      <c r="K16" s="39">
        <f>K5/N5</f>
        <v>2.0754012691302726E-2</v>
      </c>
      <c r="L16" s="39">
        <f>L5/N5</f>
        <v>1.4930944382232176E-3</v>
      </c>
      <c r="M16" s="39">
        <f>M5/N5</f>
        <v>0</v>
      </c>
      <c r="N16" s="39">
        <f>SUM(H16:M16)</f>
        <v>1</v>
      </c>
    </row>
    <row r="17" spans="1:14" x14ac:dyDescent="0.25">
      <c r="A17" s="18">
        <v>3</v>
      </c>
      <c r="B17" s="22">
        <v>11880</v>
      </c>
      <c r="C17" s="22">
        <v>684</v>
      </c>
      <c r="D17" s="22">
        <v>12564</v>
      </c>
      <c r="E17" s="39">
        <f t="shared" si="1"/>
        <v>5.4441260744985676E-2</v>
      </c>
      <c r="G17" s="18">
        <v>3</v>
      </c>
      <c r="H17" s="39">
        <f>H6/N6</f>
        <v>0.10856415154409424</v>
      </c>
      <c r="I17" s="39">
        <f>I6/N6</f>
        <v>0.72230181470869148</v>
      </c>
      <c r="J17" s="39">
        <f>J6/N6</f>
        <v>0.14915631964342566</v>
      </c>
      <c r="K17" s="39">
        <f>K6/N6</f>
        <v>1.9102196752626553E-2</v>
      </c>
      <c r="L17" s="39">
        <f>L6/N6</f>
        <v>7.9592486469277305E-4</v>
      </c>
      <c r="M17" s="39">
        <f>M6/N6</f>
        <v>7.9592486469277302E-5</v>
      </c>
      <c r="N17" s="39">
        <f>SUM(H17:M17)</f>
        <v>1.0000000000000002</v>
      </c>
    </row>
    <row r="18" spans="1:14" x14ac:dyDescent="0.25">
      <c r="A18" s="18">
        <v>4</v>
      </c>
      <c r="B18" s="22">
        <v>2584</v>
      </c>
      <c r="C18" s="22">
        <v>100</v>
      </c>
      <c r="D18" s="22">
        <v>2684</v>
      </c>
      <c r="E18" s="39">
        <f t="shared" si="1"/>
        <v>3.7257824143070044E-2</v>
      </c>
      <c r="G18" s="18">
        <v>4</v>
      </c>
      <c r="H18" s="39">
        <f>H7/N7</f>
        <v>0.14232488822652756</v>
      </c>
      <c r="I18" s="39">
        <f>I7/N7</f>
        <v>0.7440387481371088</v>
      </c>
      <c r="J18" s="39">
        <f>J7/N7</f>
        <v>0.10581222056631892</v>
      </c>
      <c r="K18" s="39">
        <f>K7/N7</f>
        <v>7.0789865871833087E-3</v>
      </c>
      <c r="L18" s="39">
        <f>L7/N7</f>
        <v>7.4515648286140089E-4</v>
      </c>
      <c r="M18" s="39">
        <f>M7/N7</f>
        <v>0</v>
      </c>
      <c r="N18" s="39">
        <f>SUM(H18:M18)</f>
        <v>1</v>
      </c>
    </row>
    <row r="19" spans="1:14" x14ac:dyDescent="0.25">
      <c r="A19" s="18">
        <v>5</v>
      </c>
      <c r="B19" s="22">
        <v>415</v>
      </c>
      <c r="C19" s="22">
        <v>6</v>
      </c>
      <c r="D19" s="22">
        <v>421</v>
      </c>
      <c r="E19" s="39">
        <f t="shared" si="1"/>
        <v>1.4251781472684086E-2</v>
      </c>
      <c r="G19" s="18">
        <v>5</v>
      </c>
      <c r="H19" s="39">
        <f>H8/N8</f>
        <v>0.45843230403800472</v>
      </c>
      <c r="I19" s="39">
        <f>I8/N8</f>
        <v>0.47980997624703087</v>
      </c>
      <c r="J19" s="39">
        <f>J8/N8</f>
        <v>5.7007125890736345E-2</v>
      </c>
      <c r="K19" s="39">
        <f>K8/N8</f>
        <v>2.3752969121140144E-3</v>
      </c>
      <c r="L19" s="39">
        <f>L8/N8</f>
        <v>2.3752969121140144E-3</v>
      </c>
      <c r="M19" s="39">
        <f>M8/N8</f>
        <v>0</v>
      </c>
      <c r="N19" s="39">
        <f>SUM(H19:M19)</f>
        <v>1</v>
      </c>
    </row>
    <row r="20" spans="1:14" x14ac:dyDescent="0.25">
      <c r="A20" s="20" t="s">
        <v>5</v>
      </c>
      <c r="B20" s="21">
        <v>109997</v>
      </c>
      <c r="C20" s="21">
        <v>4692</v>
      </c>
      <c r="D20" s="21">
        <v>114689</v>
      </c>
      <c r="E20" s="39">
        <f t="shared" si="1"/>
        <v>4.0910636591129056E-2</v>
      </c>
      <c r="G20" s="20" t="s">
        <v>5</v>
      </c>
      <c r="H20" s="39">
        <f>H9/N9</f>
        <v>0.10845852697294422</v>
      </c>
      <c r="I20" s="39">
        <f>I9/N9</f>
        <v>0.71278849758913232</v>
      </c>
      <c r="J20" s="39">
        <f>J9/N9</f>
        <v>0.15455710661004979</v>
      </c>
      <c r="K20" s="39">
        <f>K9/N9</f>
        <v>2.2574091674005353E-2</v>
      </c>
      <c r="L20" s="39">
        <f>L9/N9</f>
        <v>1.6130579218582427E-3</v>
      </c>
      <c r="M20" s="39">
        <f>M9/N9</f>
        <v>8.7192320100445558E-6</v>
      </c>
      <c r="N20" s="39">
        <f>SUM(H20:M20)</f>
        <v>1</v>
      </c>
    </row>
    <row r="21" spans="1:14" x14ac:dyDescent="0.25">
      <c r="A21" s="1"/>
      <c r="B21" s="14"/>
      <c r="C21" s="14"/>
      <c r="D21" s="14"/>
      <c r="E21" s="14"/>
    </row>
    <row r="22" spans="1:14" x14ac:dyDescent="0.25">
      <c r="A22" s="2"/>
    </row>
    <row r="23" spans="1:14" ht="13.8" customHeight="1" x14ac:dyDescent="0.25">
      <c r="A23" s="15"/>
      <c r="B23" s="15" t="s">
        <v>20</v>
      </c>
      <c r="C23" s="15"/>
      <c r="D23" s="16" t="s">
        <v>5</v>
      </c>
      <c r="E23" s="37" t="s">
        <v>27</v>
      </c>
    </row>
    <row r="24" spans="1:14" ht="13.8" customHeight="1" x14ac:dyDescent="0.25">
      <c r="A24" s="15"/>
      <c r="B24" s="17" t="s">
        <v>25</v>
      </c>
      <c r="C24" s="17" t="s">
        <v>26</v>
      </c>
      <c r="D24" s="16"/>
      <c r="E24" s="38"/>
    </row>
    <row r="25" spans="1:14" ht="13.8" customHeight="1" x14ac:dyDescent="0.25">
      <c r="A25" s="20" t="s">
        <v>14</v>
      </c>
      <c r="B25" s="19"/>
      <c r="C25" s="19"/>
      <c r="D25" s="19"/>
      <c r="E25" s="19"/>
    </row>
    <row r="26" spans="1:14" x14ac:dyDescent="0.25">
      <c r="A26" s="18">
        <v>1</v>
      </c>
      <c r="B26" s="21">
        <v>64734</v>
      </c>
      <c r="C26" s="21">
        <v>7496</v>
      </c>
      <c r="D26" s="21">
        <v>72230</v>
      </c>
      <c r="E26" s="39">
        <f>C26/D26</f>
        <v>0.10377959296691125</v>
      </c>
    </row>
    <row r="27" spans="1:14" x14ac:dyDescent="0.25">
      <c r="A27" s="18">
        <v>2</v>
      </c>
      <c r="B27" s="22">
        <v>24005</v>
      </c>
      <c r="C27" s="22">
        <v>2785</v>
      </c>
      <c r="D27" s="22">
        <v>26790</v>
      </c>
      <c r="E27" s="39">
        <f t="shared" ref="E27:E31" si="2">C27/D27</f>
        <v>0.10395670026129153</v>
      </c>
    </row>
    <row r="28" spans="1:14" x14ac:dyDescent="0.25">
      <c r="A28" s="18">
        <v>3</v>
      </c>
      <c r="B28" s="22">
        <v>11559</v>
      </c>
      <c r="C28" s="22">
        <v>1005</v>
      </c>
      <c r="D28" s="22">
        <v>12564</v>
      </c>
      <c r="E28" s="39">
        <f t="shared" si="2"/>
        <v>7.9990448901623684E-2</v>
      </c>
    </row>
    <row r="29" spans="1:14" x14ac:dyDescent="0.25">
      <c r="A29" s="18">
        <v>4</v>
      </c>
      <c r="B29" s="22">
        <v>2509</v>
      </c>
      <c r="C29" s="22">
        <v>175</v>
      </c>
      <c r="D29" s="22">
        <v>2684</v>
      </c>
      <c r="E29" s="39">
        <f t="shared" si="2"/>
        <v>6.5201192250372575E-2</v>
      </c>
    </row>
    <row r="30" spans="1:14" x14ac:dyDescent="0.25">
      <c r="A30" s="18">
        <v>5</v>
      </c>
      <c r="B30" s="22">
        <v>406</v>
      </c>
      <c r="C30" s="22">
        <v>15</v>
      </c>
      <c r="D30" s="22">
        <v>421</v>
      </c>
      <c r="E30" s="39">
        <f t="shared" si="2"/>
        <v>3.5629453681710214E-2</v>
      </c>
    </row>
    <row r="31" spans="1:14" x14ac:dyDescent="0.25">
      <c r="A31" s="20" t="s">
        <v>5</v>
      </c>
      <c r="B31" s="21">
        <v>103213</v>
      </c>
      <c r="C31" s="21">
        <v>11476</v>
      </c>
      <c r="D31" s="21">
        <v>114689</v>
      </c>
      <c r="E31" s="39">
        <f t="shared" si="2"/>
        <v>0.10006190654727132</v>
      </c>
    </row>
    <row r="32" spans="1:14" x14ac:dyDescent="0.25">
      <c r="A32" s="1"/>
      <c r="B32" s="14"/>
      <c r="C32" s="14"/>
      <c r="D32" s="14"/>
      <c r="E32" s="14"/>
    </row>
    <row r="33" spans="1:5" x14ac:dyDescent="0.25">
      <c r="A33" s="2"/>
    </row>
    <row r="34" spans="1:5" x14ac:dyDescent="0.25">
      <c r="A34" s="15"/>
      <c r="B34" s="15" t="s">
        <v>21</v>
      </c>
      <c r="C34" s="15"/>
      <c r="D34" s="16" t="s">
        <v>5</v>
      </c>
      <c r="E34" s="37" t="s">
        <v>27</v>
      </c>
    </row>
    <row r="35" spans="1:5" x14ac:dyDescent="0.25">
      <c r="A35" s="15"/>
      <c r="B35" s="17" t="s">
        <v>25</v>
      </c>
      <c r="C35" s="17" t="s">
        <v>26</v>
      </c>
      <c r="D35" s="16"/>
      <c r="E35" s="38"/>
    </row>
    <row r="36" spans="1:5" ht="13.8" customHeight="1" x14ac:dyDescent="0.25">
      <c r="A36" s="20" t="s">
        <v>14</v>
      </c>
      <c r="B36" s="19"/>
      <c r="C36" s="19"/>
      <c r="D36" s="19"/>
      <c r="E36" s="19"/>
    </row>
    <row r="37" spans="1:5" ht="13.8" customHeight="1" x14ac:dyDescent="0.25">
      <c r="A37" s="18">
        <v>1</v>
      </c>
      <c r="B37" s="21">
        <v>67104</v>
      </c>
      <c r="C37" s="21">
        <v>5126</v>
      </c>
      <c r="D37" s="21">
        <v>72230</v>
      </c>
      <c r="E37" s="39">
        <f>C37/D37</f>
        <v>7.0967741935483872E-2</v>
      </c>
    </row>
    <row r="38" spans="1:5" x14ac:dyDescent="0.25">
      <c r="A38" s="18">
        <v>2</v>
      </c>
      <c r="B38" s="22">
        <v>25024</v>
      </c>
      <c r="C38" s="22">
        <v>1766</v>
      </c>
      <c r="D38" s="22">
        <v>26790</v>
      </c>
      <c r="E38" s="39">
        <f t="shared" ref="E38:E42" si="3">C38/D38</f>
        <v>6.5920119447555062E-2</v>
      </c>
    </row>
    <row r="39" spans="1:5" x14ac:dyDescent="0.25">
      <c r="A39" s="18">
        <v>3</v>
      </c>
      <c r="B39" s="22">
        <v>11787</v>
      </c>
      <c r="C39" s="22">
        <v>777</v>
      </c>
      <c r="D39" s="22">
        <v>12564</v>
      </c>
      <c r="E39" s="39">
        <f t="shared" si="3"/>
        <v>6.1843361986628459E-2</v>
      </c>
    </row>
    <row r="40" spans="1:5" x14ac:dyDescent="0.25">
      <c r="A40" s="18">
        <v>4</v>
      </c>
      <c r="B40" s="22">
        <v>2588</v>
      </c>
      <c r="C40" s="22">
        <v>96</v>
      </c>
      <c r="D40" s="22">
        <v>2684</v>
      </c>
      <c r="E40" s="39">
        <f t="shared" si="3"/>
        <v>3.5767511177347243E-2</v>
      </c>
    </row>
    <row r="41" spans="1:5" x14ac:dyDescent="0.25">
      <c r="A41" s="18">
        <v>5</v>
      </c>
      <c r="B41" s="22">
        <v>410</v>
      </c>
      <c r="C41" s="22">
        <v>11</v>
      </c>
      <c r="D41" s="22">
        <v>421</v>
      </c>
      <c r="E41" s="39">
        <f t="shared" si="3"/>
        <v>2.6128266033254157E-2</v>
      </c>
    </row>
    <row r="42" spans="1:5" x14ac:dyDescent="0.25">
      <c r="A42" s="20" t="s">
        <v>5</v>
      </c>
      <c r="B42" s="21">
        <v>106913</v>
      </c>
      <c r="C42" s="21">
        <v>7776</v>
      </c>
      <c r="D42" s="21">
        <v>114689</v>
      </c>
      <c r="E42" s="39">
        <f t="shared" si="3"/>
        <v>6.780074811010646E-2</v>
      </c>
    </row>
    <row r="43" spans="1:5" x14ac:dyDescent="0.25">
      <c r="A43" s="1"/>
      <c r="B43" s="14"/>
      <c r="C43" s="14"/>
      <c r="D43" s="14"/>
      <c r="E43" s="14"/>
    </row>
    <row r="44" spans="1:5" x14ac:dyDescent="0.25">
      <c r="A44" s="2"/>
    </row>
    <row r="45" spans="1:5" ht="13.8" customHeight="1" x14ac:dyDescent="0.25">
      <c r="A45" s="15"/>
      <c r="B45" s="15" t="s">
        <v>22</v>
      </c>
      <c r="C45" s="15"/>
      <c r="D45" s="16" t="s">
        <v>5</v>
      </c>
      <c r="E45" s="37" t="s">
        <v>27</v>
      </c>
    </row>
    <row r="46" spans="1:5" x14ac:dyDescent="0.25">
      <c r="A46" s="15"/>
      <c r="B46" s="17" t="s">
        <v>25</v>
      </c>
      <c r="C46" s="17" t="s">
        <v>26</v>
      </c>
      <c r="D46" s="16"/>
      <c r="E46" s="38"/>
    </row>
    <row r="47" spans="1:5" ht="41.4" x14ac:dyDescent="0.25">
      <c r="A47" s="20" t="s">
        <v>14</v>
      </c>
      <c r="B47" s="19"/>
      <c r="C47" s="19"/>
      <c r="D47" s="19"/>
      <c r="E47" s="19"/>
    </row>
    <row r="48" spans="1:5" ht="13.8" customHeight="1" x14ac:dyDescent="0.25">
      <c r="A48" s="18">
        <v>1</v>
      </c>
      <c r="B48" s="21">
        <v>72116</v>
      </c>
      <c r="C48" s="21">
        <v>114</v>
      </c>
      <c r="D48" s="21">
        <v>72230</v>
      </c>
      <c r="E48" s="39">
        <f>C48/D48</f>
        <v>1.5782915686003045E-3</v>
      </c>
    </row>
    <row r="49" spans="1:5" ht="13.8" customHeight="1" x14ac:dyDescent="0.25">
      <c r="A49" s="18">
        <v>2</v>
      </c>
      <c r="B49" s="22">
        <v>26742</v>
      </c>
      <c r="C49" s="22">
        <v>48</v>
      </c>
      <c r="D49" s="22">
        <v>26790</v>
      </c>
      <c r="E49" s="39">
        <f t="shared" ref="E49:E53" si="4">C49/D49</f>
        <v>1.7917133258678612E-3</v>
      </c>
    </row>
    <row r="50" spans="1:5" x14ac:dyDescent="0.25">
      <c r="A50" s="18">
        <v>3</v>
      </c>
      <c r="B50" s="22">
        <v>12536</v>
      </c>
      <c r="C50" s="22">
        <v>28</v>
      </c>
      <c r="D50" s="22">
        <v>12564</v>
      </c>
      <c r="E50" s="39">
        <f t="shared" si="4"/>
        <v>2.2285896211397642E-3</v>
      </c>
    </row>
    <row r="51" spans="1:5" x14ac:dyDescent="0.25">
      <c r="A51" s="18">
        <v>4</v>
      </c>
      <c r="B51" s="22">
        <v>2681</v>
      </c>
      <c r="C51" s="22">
        <v>3</v>
      </c>
      <c r="D51" s="22">
        <v>2684</v>
      </c>
      <c r="E51" s="39">
        <f t="shared" si="4"/>
        <v>1.1177347242921013E-3</v>
      </c>
    </row>
    <row r="52" spans="1:5" x14ac:dyDescent="0.25">
      <c r="A52" s="18">
        <v>5</v>
      </c>
      <c r="B52" s="22">
        <v>421</v>
      </c>
      <c r="C52" s="22">
        <v>0</v>
      </c>
      <c r="D52" s="22">
        <v>421</v>
      </c>
      <c r="E52" s="39">
        <f t="shared" si="4"/>
        <v>0</v>
      </c>
    </row>
    <row r="53" spans="1:5" x14ac:dyDescent="0.25">
      <c r="A53" s="20" t="s">
        <v>5</v>
      </c>
      <c r="B53" s="21">
        <v>114496</v>
      </c>
      <c r="C53" s="21">
        <v>193</v>
      </c>
      <c r="D53" s="21">
        <v>114689</v>
      </c>
      <c r="E53" s="39">
        <f t="shared" si="4"/>
        <v>1.6828117779385992E-3</v>
      </c>
    </row>
    <row r="54" spans="1:5" x14ac:dyDescent="0.25">
      <c r="A54" s="1"/>
      <c r="B54" s="14"/>
      <c r="C54" s="14"/>
      <c r="D54" s="14"/>
      <c r="E54" s="14"/>
    </row>
    <row r="55" spans="1:5" x14ac:dyDescent="0.25">
      <c r="A55" s="2"/>
    </row>
    <row r="56" spans="1:5" x14ac:dyDescent="0.25">
      <c r="A56" s="15"/>
      <c r="B56" s="15" t="s">
        <v>23</v>
      </c>
      <c r="C56" s="15"/>
      <c r="D56" s="16" t="s">
        <v>5</v>
      </c>
      <c r="E56" s="37" t="s">
        <v>27</v>
      </c>
    </row>
    <row r="57" spans="1:5" x14ac:dyDescent="0.25">
      <c r="A57" s="15"/>
      <c r="B57" s="17" t="s">
        <v>25</v>
      </c>
      <c r="C57" s="17" t="s">
        <v>26</v>
      </c>
      <c r="D57" s="16"/>
      <c r="E57" s="38"/>
    </row>
    <row r="58" spans="1:5" ht="41.4" x14ac:dyDescent="0.25">
      <c r="A58" s="20" t="s">
        <v>14</v>
      </c>
      <c r="B58" s="19"/>
      <c r="C58" s="19"/>
      <c r="D58" s="19"/>
      <c r="E58" s="19"/>
    </row>
    <row r="59" spans="1:5" x14ac:dyDescent="0.25">
      <c r="A59" s="18">
        <v>1</v>
      </c>
      <c r="B59" s="21">
        <v>71203</v>
      </c>
      <c r="C59" s="21">
        <v>1027</v>
      </c>
      <c r="D59" s="21">
        <v>72230</v>
      </c>
      <c r="E59" s="39">
        <f>C59/D59</f>
        <v>1.4218468780285201E-2</v>
      </c>
    </row>
    <row r="60" spans="1:5" ht="13.8" customHeight="1" x14ac:dyDescent="0.25">
      <c r="A60" s="18">
        <v>2</v>
      </c>
      <c r="B60" s="22">
        <v>26484</v>
      </c>
      <c r="C60" s="22">
        <v>306</v>
      </c>
      <c r="D60" s="22">
        <v>26790</v>
      </c>
      <c r="E60" s="39">
        <f t="shared" ref="E60:E64" si="5">C60/D60</f>
        <v>1.1422172452407614E-2</v>
      </c>
    </row>
    <row r="61" spans="1:5" ht="13.8" customHeight="1" x14ac:dyDescent="0.25">
      <c r="A61" s="18">
        <v>3</v>
      </c>
      <c r="B61" s="22">
        <v>12386</v>
      </c>
      <c r="C61" s="22">
        <v>178</v>
      </c>
      <c r="D61" s="22">
        <v>12564</v>
      </c>
      <c r="E61" s="39">
        <f t="shared" si="5"/>
        <v>1.4167462591531359E-2</v>
      </c>
    </row>
    <row r="62" spans="1:5" x14ac:dyDescent="0.25">
      <c r="A62" s="18">
        <v>4</v>
      </c>
      <c r="B62" s="22">
        <v>2654</v>
      </c>
      <c r="C62" s="22">
        <v>30</v>
      </c>
      <c r="D62" s="22">
        <v>2684</v>
      </c>
      <c r="E62" s="39">
        <f t="shared" si="5"/>
        <v>1.1177347242921014E-2</v>
      </c>
    </row>
    <row r="63" spans="1:5" x14ac:dyDescent="0.25">
      <c r="A63" s="18">
        <v>5</v>
      </c>
      <c r="B63" s="22">
        <v>418</v>
      </c>
      <c r="C63" s="22">
        <v>3</v>
      </c>
      <c r="D63" s="22">
        <v>421</v>
      </c>
      <c r="E63" s="39">
        <f t="shared" si="5"/>
        <v>7.1258907363420431E-3</v>
      </c>
    </row>
    <row r="64" spans="1:5" x14ac:dyDescent="0.25">
      <c r="A64" s="20" t="s">
        <v>5</v>
      </c>
      <c r="B64" s="21">
        <v>113145</v>
      </c>
      <c r="C64" s="21">
        <v>1544</v>
      </c>
      <c r="D64" s="21">
        <v>114689</v>
      </c>
      <c r="E64" s="39">
        <f t="shared" si="5"/>
        <v>1.3462494223508793E-2</v>
      </c>
    </row>
    <row r="65" spans="1:5" x14ac:dyDescent="0.25">
      <c r="A65" s="1"/>
      <c r="B65" s="14"/>
      <c r="C65" s="14"/>
      <c r="D65" s="14"/>
      <c r="E65" s="14"/>
    </row>
    <row r="88" ht="13.8" customHeight="1" x14ac:dyDescent="0.25"/>
    <row r="89" ht="13.8" customHeight="1" x14ac:dyDescent="0.25"/>
    <row r="110" ht="13.8" customHeight="1" x14ac:dyDescent="0.25"/>
    <row r="111" ht="13.8" customHeight="1" x14ac:dyDescent="0.25"/>
  </sheetData>
  <mergeCells count="30">
    <mergeCell ref="E1:E2"/>
    <mergeCell ref="E12:E13"/>
    <mergeCell ref="E23:E24"/>
    <mergeCell ref="E34:E35"/>
    <mergeCell ref="E45:E46"/>
    <mergeCell ref="E56:E57"/>
    <mergeCell ref="G12:G13"/>
    <mergeCell ref="H12:M12"/>
    <mergeCell ref="N12:N13"/>
    <mergeCell ref="A1:A2"/>
    <mergeCell ref="B1:C1"/>
    <mergeCell ref="D1:D2"/>
    <mergeCell ref="A12:A13"/>
    <mergeCell ref="B12:C12"/>
    <mergeCell ref="D12:D13"/>
    <mergeCell ref="A34:A35"/>
    <mergeCell ref="B34:C34"/>
    <mergeCell ref="D34:D35"/>
    <mergeCell ref="A23:A24"/>
    <mergeCell ref="B23:C23"/>
    <mergeCell ref="D23:D24"/>
    <mergeCell ref="A45:A46"/>
    <mergeCell ref="B45:C45"/>
    <mergeCell ref="D45:D46"/>
    <mergeCell ref="A56:A57"/>
    <mergeCell ref="B56:C56"/>
    <mergeCell ref="D56:D57"/>
    <mergeCell ref="G1:G2"/>
    <mergeCell ref="H1:M1"/>
    <mergeCell ref="N1:N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FFDA-7F0E-4B3F-8551-38DD754005D2}">
  <dimension ref="A1:F110"/>
  <sheetViews>
    <sheetView rightToLeft="1" workbookViewId="0">
      <selection activeCell="G1" sqref="G1"/>
    </sheetView>
  </sheetViews>
  <sheetFormatPr defaultRowHeight="13.8" x14ac:dyDescent="0.25"/>
  <cols>
    <col min="1" max="6" width="12.69921875" customWidth="1"/>
  </cols>
  <sheetData>
    <row r="1" spans="1:6" ht="45" customHeight="1" x14ac:dyDescent="0.25">
      <c r="A1" s="3" t="s">
        <v>3</v>
      </c>
      <c r="B1" s="3" t="s">
        <v>4</v>
      </c>
      <c r="C1" s="3" t="s">
        <v>1</v>
      </c>
      <c r="D1" s="3" t="s">
        <v>2</v>
      </c>
      <c r="E1" s="3" t="s">
        <v>7</v>
      </c>
      <c r="F1" s="3" t="s">
        <v>6</v>
      </c>
    </row>
    <row r="2" spans="1:6" x14ac:dyDescent="0.25">
      <c r="A2" s="4">
        <v>510882830</v>
      </c>
      <c r="B2" s="5">
        <v>7517.4634146341459</v>
      </c>
      <c r="C2" s="5">
        <v>295.4390243902439</v>
      </c>
      <c r="D2" s="5">
        <v>107.07317073170732</v>
      </c>
      <c r="E2" s="6">
        <f>C2/B2</f>
        <v>3.9300360785942332E-2</v>
      </c>
      <c r="F2" s="6">
        <f>D2/C2</f>
        <v>0.36242053991579298</v>
      </c>
    </row>
    <row r="3" spans="1:6" x14ac:dyDescent="0.25">
      <c r="A3" s="4">
        <v>510899073</v>
      </c>
      <c r="B3" s="5">
        <v>469.84146341463412</v>
      </c>
      <c r="C3" s="5">
        <v>17.134146341463413</v>
      </c>
      <c r="D3" s="5">
        <v>5.1951219512195124</v>
      </c>
      <c r="E3" s="6">
        <f t="shared" ref="E3:E66" si="0">C3/B3</f>
        <v>3.6467931580450072E-2</v>
      </c>
      <c r="F3" s="6">
        <f t="shared" ref="F3:F66" si="1">D3/C3</f>
        <v>0.30320284697508898</v>
      </c>
    </row>
    <row r="4" spans="1:6" x14ac:dyDescent="0.25">
      <c r="A4" s="4">
        <v>510900566</v>
      </c>
      <c r="B4" s="5">
        <v>593.6219512195122</v>
      </c>
      <c r="C4" s="5">
        <v>28.512195121951219</v>
      </c>
      <c r="D4" s="5">
        <v>8</v>
      </c>
      <c r="E4" s="6">
        <f t="shared" si="0"/>
        <v>4.803089754915052E-2</v>
      </c>
      <c r="F4" s="6">
        <f t="shared" si="1"/>
        <v>0.28058169375534647</v>
      </c>
    </row>
    <row r="5" spans="1:6" x14ac:dyDescent="0.25">
      <c r="A5" s="4">
        <v>511144339</v>
      </c>
      <c r="B5" s="5">
        <v>1.4634146341463414</v>
      </c>
      <c r="C5" s="5">
        <v>8.5365853658536592E-2</v>
      </c>
      <c r="D5" s="5">
        <v>4.878048780487805E-2</v>
      </c>
      <c r="E5" s="6">
        <f t="shared" si="0"/>
        <v>5.8333333333333341E-2</v>
      </c>
      <c r="F5" s="6">
        <f t="shared" si="1"/>
        <v>0.5714285714285714</v>
      </c>
    </row>
    <row r="6" spans="1:6" x14ac:dyDescent="0.25">
      <c r="A6" s="4">
        <v>511167835</v>
      </c>
      <c r="B6" s="5">
        <v>2596.9268292682927</v>
      </c>
      <c r="C6" s="5">
        <v>92.451219512195124</v>
      </c>
      <c r="D6" s="5">
        <v>40.146341463414636</v>
      </c>
      <c r="E6" s="6">
        <f t="shared" si="0"/>
        <v>3.5600240434284426E-2</v>
      </c>
      <c r="F6" s="6">
        <f t="shared" si="1"/>
        <v>0.43424350349558105</v>
      </c>
    </row>
    <row r="7" spans="1:6" x14ac:dyDescent="0.25">
      <c r="A7" s="4">
        <v>511171209</v>
      </c>
      <c r="B7" s="5">
        <v>4145.2560975609758</v>
      </c>
      <c r="C7" s="5">
        <v>168.14634146341464</v>
      </c>
      <c r="D7" s="5">
        <v>56.975609756097562</v>
      </c>
      <c r="E7" s="6">
        <f t="shared" si="0"/>
        <v>4.0563559284636272E-2</v>
      </c>
      <c r="F7" s="6">
        <f t="shared" si="1"/>
        <v>0.33884537278793153</v>
      </c>
    </row>
    <row r="8" spans="1:6" x14ac:dyDescent="0.25">
      <c r="A8" s="4">
        <v>511211070</v>
      </c>
      <c r="B8" s="5">
        <v>385.95121951219511</v>
      </c>
      <c r="C8" s="5">
        <v>15.597560975609756</v>
      </c>
      <c r="D8" s="5">
        <v>5.1097560975609753</v>
      </c>
      <c r="E8" s="6">
        <f t="shared" si="0"/>
        <v>4.041329625884732E-2</v>
      </c>
      <c r="F8" s="6">
        <f t="shared" si="1"/>
        <v>0.32759968725566846</v>
      </c>
    </row>
    <row r="9" spans="1:6" x14ac:dyDescent="0.25">
      <c r="A9" s="4">
        <v>511219685</v>
      </c>
      <c r="B9" s="5">
        <v>6020.2195121951218</v>
      </c>
      <c r="C9" s="5">
        <v>251.58536585365854</v>
      </c>
      <c r="D9" s="5">
        <v>94.609756097560975</v>
      </c>
      <c r="E9" s="6">
        <f t="shared" si="0"/>
        <v>4.1790065186829754E-2</v>
      </c>
      <c r="F9" s="6">
        <f t="shared" si="1"/>
        <v>0.37605428986912265</v>
      </c>
    </row>
    <row r="10" spans="1:6" x14ac:dyDescent="0.25">
      <c r="A10" s="4">
        <v>511229338</v>
      </c>
      <c r="B10" s="5">
        <v>1495</v>
      </c>
      <c r="C10" s="5">
        <v>55.414634146341463</v>
      </c>
      <c r="D10" s="5">
        <v>22.951219512195124</v>
      </c>
      <c r="E10" s="6">
        <f t="shared" si="0"/>
        <v>3.706664491394078E-2</v>
      </c>
      <c r="F10" s="6">
        <f t="shared" si="1"/>
        <v>0.41417253521126762</v>
      </c>
    </row>
    <row r="11" spans="1:6" x14ac:dyDescent="0.25">
      <c r="A11" s="4">
        <v>511247298</v>
      </c>
      <c r="B11" s="5">
        <v>14303.817073170732</v>
      </c>
      <c r="C11" s="5">
        <v>533.46341463414637</v>
      </c>
      <c r="D11" s="5">
        <v>226.92682926829269</v>
      </c>
      <c r="E11" s="6">
        <f t="shared" si="0"/>
        <v>3.7295178755798596E-2</v>
      </c>
      <c r="F11" s="6">
        <f t="shared" si="1"/>
        <v>0.42538405267008045</v>
      </c>
    </row>
    <row r="12" spans="1:6" x14ac:dyDescent="0.25">
      <c r="A12" s="4">
        <v>511248403</v>
      </c>
      <c r="B12" s="5">
        <v>894.47560975609758</v>
      </c>
      <c r="C12" s="5">
        <v>32.231707317073173</v>
      </c>
      <c r="D12" s="5">
        <v>14.548780487804878</v>
      </c>
      <c r="E12" s="6">
        <f t="shared" si="0"/>
        <v>3.6034193627551232E-2</v>
      </c>
      <c r="F12" s="6">
        <f t="shared" si="1"/>
        <v>0.45138100643208473</v>
      </c>
    </row>
    <row r="13" spans="1:6" x14ac:dyDescent="0.25">
      <c r="A13" s="4">
        <v>511278624</v>
      </c>
      <c r="B13" s="5">
        <v>1497.6463414634147</v>
      </c>
      <c r="C13" s="5">
        <v>52.768292682926827</v>
      </c>
      <c r="D13" s="5">
        <v>20.5</v>
      </c>
      <c r="E13" s="6">
        <f t="shared" si="0"/>
        <v>3.5234147890592551E-2</v>
      </c>
      <c r="F13" s="6">
        <f t="shared" si="1"/>
        <v>0.3884908712733996</v>
      </c>
    </row>
    <row r="14" spans="1:6" x14ac:dyDescent="0.25">
      <c r="A14" s="4">
        <v>511288193</v>
      </c>
      <c r="B14" s="5">
        <v>454.1219512195122</v>
      </c>
      <c r="C14" s="5">
        <v>18.182926829268293</v>
      </c>
      <c r="D14" s="5">
        <v>7.7073170731707314</v>
      </c>
      <c r="E14" s="6">
        <f t="shared" si="0"/>
        <v>4.0039744347172244E-2</v>
      </c>
      <c r="F14" s="6">
        <f t="shared" si="1"/>
        <v>0.42387659289067736</v>
      </c>
    </row>
    <row r="15" spans="1:6" x14ac:dyDescent="0.25">
      <c r="A15" s="4">
        <v>511294068</v>
      </c>
      <c r="B15" s="5">
        <v>1102.0365853658536</v>
      </c>
      <c r="C15" s="5">
        <v>52.036585365853661</v>
      </c>
      <c r="D15" s="5">
        <v>16.548780487804876</v>
      </c>
      <c r="E15" s="6">
        <f t="shared" si="0"/>
        <v>4.7218564298914432E-2</v>
      </c>
      <c r="F15" s="6">
        <f t="shared" si="1"/>
        <v>0.31802202952894298</v>
      </c>
    </row>
    <row r="16" spans="1:6" x14ac:dyDescent="0.25">
      <c r="A16" s="4">
        <v>511294662</v>
      </c>
      <c r="B16" s="5">
        <v>1210.0487804878048</v>
      </c>
      <c r="C16" s="5">
        <v>49.304878048780488</v>
      </c>
      <c r="D16" s="5">
        <v>18.134146341463413</v>
      </c>
      <c r="E16" s="6">
        <f t="shared" si="0"/>
        <v>4.0746190437797307E-2</v>
      </c>
      <c r="F16" s="6">
        <f t="shared" si="1"/>
        <v>0.3677961909473163</v>
      </c>
    </row>
    <row r="17" spans="1:6" x14ac:dyDescent="0.25">
      <c r="A17" s="4">
        <v>511295123</v>
      </c>
      <c r="B17" s="5">
        <v>23.756097560975611</v>
      </c>
      <c r="C17" s="5">
        <v>0.70731707317073167</v>
      </c>
      <c r="D17" s="5">
        <v>0.29268292682926828</v>
      </c>
      <c r="E17" s="6">
        <f t="shared" si="0"/>
        <v>2.9774127310061599E-2</v>
      </c>
      <c r="F17" s="6">
        <f t="shared" si="1"/>
        <v>0.41379310344827586</v>
      </c>
    </row>
    <row r="18" spans="1:6" x14ac:dyDescent="0.25">
      <c r="A18" s="4">
        <v>511296667</v>
      </c>
      <c r="B18" s="5">
        <v>26.719512195121951</v>
      </c>
      <c r="C18" s="5">
        <v>0.87804878048780488</v>
      </c>
      <c r="D18" s="5">
        <v>0.57317073170731703</v>
      </c>
      <c r="E18" s="6">
        <f t="shared" si="0"/>
        <v>3.2861706983112735E-2</v>
      </c>
      <c r="F18" s="6">
        <f t="shared" si="1"/>
        <v>0.65277777777777768</v>
      </c>
    </row>
    <row r="19" spans="1:6" x14ac:dyDescent="0.25">
      <c r="A19" s="4">
        <v>511308413</v>
      </c>
      <c r="B19" s="5">
        <v>4136.1829268292686</v>
      </c>
      <c r="C19" s="5">
        <v>152.64634146341464</v>
      </c>
      <c r="D19" s="5">
        <v>67.975609756097555</v>
      </c>
      <c r="E19" s="6">
        <f t="shared" si="0"/>
        <v>3.6905123434768122E-2</v>
      </c>
      <c r="F19" s="6">
        <f t="shared" si="1"/>
        <v>0.44531437245346323</v>
      </c>
    </row>
    <row r="20" spans="1:6" x14ac:dyDescent="0.25">
      <c r="A20" s="4">
        <v>511310542</v>
      </c>
      <c r="B20" s="5">
        <v>443.98780487804879</v>
      </c>
      <c r="C20" s="5">
        <v>15.25609756097561</v>
      </c>
      <c r="D20" s="5">
        <v>8.4146341463414629</v>
      </c>
      <c r="E20" s="6">
        <f t="shared" si="0"/>
        <v>3.4361523882769793E-2</v>
      </c>
      <c r="F20" s="6">
        <f t="shared" si="1"/>
        <v>0.55155875299760193</v>
      </c>
    </row>
    <row r="21" spans="1:6" x14ac:dyDescent="0.25">
      <c r="A21" s="4">
        <v>511349631</v>
      </c>
      <c r="B21" s="5">
        <v>147.40243902439025</v>
      </c>
      <c r="C21" s="5">
        <v>4.8048780487804876</v>
      </c>
      <c r="D21" s="5">
        <v>2.1585365853658538</v>
      </c>
      <c r="E21" s="6">
        <f t="shared" si="0"/>
        <v>3.2597005046744433E-2</v>
      </c>
      <c r="F21" s="6">
        <f t="shared" si="1"/>
        <v>0.44923857868020312</v>
      </c>
    </row>
    <row r="22" spans="1:6" x14ac:dyDescent="0.25">
      <c r="A22" s="4">
        <v>511360539</v>
      </c>
      <c r="B22" s="5">
        <v>5769.8170731707314</v>
      </c>
      <c r="C22" s="5">
        <v>207.36585365853659</v>
      </c>
      <c r="D22" s="5">
        <v>88.41463414634147</v>
      </c>
      <c r="E22" s="6">
        <f t="shared" si="0"/>
        <v>3.5939762219286658E-2</v>
      </c>
      <c r="F22" s="6">
        <f t="shared" si="1"/>
        <v>0.42637026581980714</v>
      </c>
    </row>
    <row r="23" spans="1:6" x14ac:dyDescent="0.25">
      <c r="A23" s="4">
        <v>511370298</v>
      </c>
      <c r="B23" s="5">
        <v>4106.7560975609758</v>
      </c>
      <c r="C23" s="5">
        <v>139.53658536585365</v>
      </c>
      <c r="D23" s="5">
        <v>47.634146341463413</v>
      </c>
      <c r="E23" s="6">
        <f t="shared" si="0"/>
        <v>3.3977324693990271E-2</v>
      </c>
      <c r="F23" s="6">
        <f t="shared" si="1"/>
        <v>0.34137388568432092</v>
      </c>
    </row>
    <row r="24" spans="1:6" x14ac:dyDescent="0.25">
      <c r="A24" s="4">
        <v>511379000</v>
      </c>
      <c r="B24" s="5">
        <v>220.76829268292684</v>
      </c>
      <c r="C24" s="5">
        <v>7.1707317073170733</v>
      </c>
      <c r="D24" s="5">
        <v>3.4390243902439024</v>
      </c>
      <c r="E24" s="6">
        <f t="shared" si="0"/>
        <v>3.2480804286582336E-2</v>
      </c>
      <c r="F24" s="6">
        <f t="shared" si="1"/>
        <v>0.47959183673469385</v>
      </c>
    </row>
    <row r="25" spans="1:6" x14ac:dyDescent="0.25">
      <c r="A25" s="4">
        <v>511385379</v>
      </c>
      <c r="B25" s="5">
        <v>297.60975609756099</v>
      </c>
      <c r="C25" s="5">
        <v>12.219512195121951</v>
      </c>
      <c r="D25" s="5">
        <v>4.5487804878048781</v>
      </c>
      <c r="E25" s="6">
        <f t="shared" si="0"/>
        <v>4.1058842812653658E-2</v>
      </c>
      <c r="F25" s="6">
        <f t="shared" si="1"/>
        <v>0.3722554890219561</v>
      </c>
    </row>
    <row r="26" spans="1:6" x14ac:dyDescent="0.25">
      <c r="A26" s="4">
        <v>511390841</v>
      </c>
      <c r="B26" s="5">
        <v>57.902439024390247</v>
      </c>
      <c r="C26" s="5">
        <v>1.9390243902439024</v>
      </c>
      <c r="D26" s="5">
        <v>1.0731707317073171</v>
      </c>
      <c r="E26" s="6">
        <f t="shared" si="0"/>
        <v>3.3487784330244311E-2</v>
      </c>
      <c r="F26" s="6">
        <f t="shared" si="1"/>
        <v>0.55345911949685545</v>
      </c>
    </row>
    <row r="27" spans="1:6" x14ac:dyDescent="0.25">
      <c r="A27" s="4">
        <v>511392425</v>
      </c>
      <c r="B27" s="5">
        <v>1972.1585365853659</v>
      </c>
      <c r="C27" s="5">
        <v>80.719512195121951</v>
      </c>
      <c r="D27" s="5">
        <v>31.024390243902438</v>
      </c>
      <c r="E27" s="6">
        <f t="shared" si="0"/>
        <v>4.09295250344738E-2</v>
      </c>
      <c r="F27" s="6">
        <f t="shared" si="1"/>
        <v>0.38434808883517146</v>
      </c>
    </row>
    <row r="28" spans="1:6" x14ac:dyDescent="0.25">
      <c r="A28" s="4">
        <v>511393571</v>
      </c>
      <c r="B28" s="5">
        <v>845.52439024390242</v>
      </c>
      <c r="C28" s="5">
        <v>23.341463414634145</v>
      </c>
      <c r="D28" s="5">
        <v>7.2926829268292686</v>
      </c>
      <c r="E28" s="6">
        <f t="shared" si="0"/>
        <v>2.7605901951451687E-2</v>
      </c>
      <c r="F28" s="6">
        <f t="shared" si="1"/>
        <v>0.31243469174503663</v>
      </c>
    </row>
    <row r="29" spans="1:6" x14ac:dyDescent="0.25">
      <c r="A29" s="4">
        <v>511427635</v>
      </c>
      <c r="B29" s="5">
        <v>8393.7560975609758</v>
      </c>
      <c r="C29" s="5">
        <v>324.6829268292683</v>
      </c>
      <c r="D29" s="5">
        <v>125.89024390243902</v>
      </c>
      <c r="E29" s="6">
        <f t="shared" si="0"/>
        <v>3.8681482170254314E-2</v>
      </c>
      <c r="F29" s="6">
        <f t="shared" si="1"/>
        <v>0.38773287259615385</v>
      </c>
    </row>
    <row r="30" spans="1:6" x14ac:dyDescent="0.25">
      <c r="A30" s="4">
        <v>511428203</v>
      </c>
      <c r="B30" s="5">
        <v>56.829268292682926</v>
      </c>
      <c r="C30" s="5">
        <v>2.3414634146341462</v>
      </c>
      <c r="D30" s="5">
        <v>0.8902439024390244</v>
      </c>
      <c r="E30" s="6">
        <f t="shared" si="0"/>
        <v>4.1201716738197426E-2</v>
      </c>
      <c r="F30" s="6">
        <f t="shared" si="1"/>
        <v>0.38020833333333337</v>
      </c>
    </row>
    <row r="31" spans="1:6" x14ac:dyDescent="0.25">
      <c r="A31" s="4">
        <v>511524589</v>
      </c>
      <c r="B31" s="5">
        <v>476.53658536585368</v>
      </c>
      <c r="C31" s="5">
        <v>17.609756097560975</v>
      </c>
      <c r="D31" s="5">
        <v>7.1585365853658534</v>
      </c>
      <c r="E31" s="6">
        <f t="shared" si="0"/>
        <v>3.6953628825877771E-2</v>
      </c>
      <c r="F31" s="6">
        <f t="shared" si="1"/>
        <v>0.40650969529085873</v>
      </c>
    </row>
    <row r="32" spans="1:6" x14ac:dyDescent="0.25">
      <c r="A32" s="4">
        <v>511550378</v>
      </c>
      <c r="B32" s="5">
        <v>260.35365853658539</v>
      </c>
      <c r="C32" s="5">
        <v>8.4512195121951219</v>
      </c>
      <c r="D32" s="5">
        <v>4.0121951219512191</v>
      </c>
      <c r="E32" s="6">
        <f t="shared" si="0"/>
        <v>3.2460536793292423E-2</v>
      </c>
      <c r="F32" s="6">
        <f t="shared" si="1"/>
        <v>0.4747474747474747</v>
      </c>
    </row>
    <row r="33" spans="1:6" x14ac:dyDescent="0.25">
      <c r="A33" s="4">
        <v>511621575</v>
      </c>
      <c r="B33" s="5">
        <v>778.96341463414637</v>
      </c>
      <c r="C33" s="5">
        <v>32.402439024390247</v>
      </c>
      <c r="D33" s="5">
        <v>11.914634146341463</v>
      </c>
      <c r="E33" s="6">
        <f t="shared" si="0"/>
        <v>4.1596868884540117E-2</v>
      </c>
      <c r="F33" s="6">
        <f t="shared" si="1"/>
        <v>0.36770794128716594</v>
      </c>
    </row>
    <row r="34" spans="1:6" x14ac:dyDescent="0.25">
      <c r="A34" s="4">
        <v>511672164</v>
      </c>
      <c r="B34" s="5">
        <v>458.97560975609758</v>
      </c>
      <c r="C34" s="5">
        <v>18.475609756097562</v>
      </c>
      <c r="D34" s="5">
        <v>5.9878048780487809</v>
      </c>
      <c r="E34" s="6">
        <f t="shared" si="0"/>
        <v>4.0254012116059092E-2</v>
      </c>
      <c r="F34" s="6">
        <f t="shared" si="1"/>
        <v>0.32409240924092408</v>
      </c>
    </row>
    <row r="35" spans="1:6" x14ac:dyDescent="0.25">
      <c r="A35" s="4">
        <v>511708307</v>
      </c>
      <c r="B35" s="5">
        <v>1.6219512195121952</v>
      </c>
      <c r="C35" s="5">
        <v>7.3170731707317069E-2</v>
      </c>
      <c r="D35" s="5">
        <v>4.878048780487805E-2</v>
      </c>
      <c r="E35" s="6">
        <f t="shared" si="0"/>
        <v>4.5112781954887216E-2</v>
      </c>
      <c r="F35" s="6">
        <f t="shared" si="1"/>
        <v>0.66666666666666674</v>
      </c>
    </row>
    <row r="36" spans="1:6" x14ac:dyDescent="0.25">
      <c r="A36" s="4">
        <v>511715393</v>
      </c>
      <c r="B36" s="5">
        <v>905</v>
      </c>
      <c r="C36" s="5">
        <v>30.243902439024389</v>
      </c>
      <c r="D36" s="5">
        <v>12.524390243902438</v>
      </c>
      <c r="E36" s="6">
        <f t="shared" si="0"/>
        <v>3.3418676728203742E-2</v>
      </c>
      <c r="F36" s="6">
        <f t="shared" si="1"/>
        <v>0.41411290322580646</v>
      </c>
    </row>
    <row r="37" spans="1:6" x14ac:dyDescent="0.25">
      <c r="A37" s="4">
        <v>511758724</v>
      </c>
      <c r="B37" s="5">
        <v>2811.2073170731705</v>
      </c>
      <c r="C37" s="5">
        <v>97.109756097560975</v>
      </c>
      <c r="D37" s="5">
        <v>44.975609756097562</v>
      </c>
      <c r="E37" s="6">
        <f t="shared" si="0"/>
        <v>3.4543790316633335E-2</v>
      </c>
      <c r="F37" s="6">
        <f t="shared" si="1"/>
        <v>0.46314203189752606</v>
      </c>
    </row>
    <row r="38" spans="1:6" x14ac:dyDescent="0.25">
      <c r="A38" s="4">
        <v>511770521</v>
      </c>
      <c r="B38" s="5">
        <v>700.82926829268297</v>
      </c>
      <c r="C38" s="5">
        <v>26.170731707317074</v>
      </c>
      <c r="D38" s="5">
        <v>9.8780487804878057</v>
      </c>
      <c r="E38" s="6">
        <f t="shared" si="0"/>
        <v>3.7342521055195935E-2</v>
      </c>
      <c r="F38" s="6">
        <f t="shared" si="1"/>
        <v>0.37744641192917056</v>
      </c>
    </row>
    <row r="39" spans="1:6" x14ac:dyDescent="0.25">
      <c r="A39" s="4">
        <v>511779019</v>
      </c>
      <c r="B39" s="5">
        <v>241.23170731707316</v>
      </c>
      <c r="C39" s="5">
        <v>10.121951219512194</v>
      </c>
      <c r="D39" s="5">
        <v>1.9512195121951219</v>
      </c>
      <c r="E39" s="6">
        <f t="shared" si="0"/>
        <v>4.1959456043678275E-2</v>
      </c>
      <c r="F39" s="6">
        <f t="shared" si="1"/>
        <v>0.19277108433734941</v>
      </c>
    </row>
    <row r="40" spans="1:6" x14ac:dyDescent="0.25">
      <c r="A40" s="4">
        <v>511781270</v>
      </c>
      <c r="B40" s="5">
        <v>79.902439024390247</v>
      </c>
      <c r="C40" s="5">
        <v>2.9634146341463414</v>
      </c>
      <c r="D40" s="5">
        <v>0.91463414634146345</v>
      </c>
      <c r="E40" s="6">
        <f t="shared" si="0"/>
        <v>3.7087912087912088E-2</v>
      </c>
      <c r="F40" s="6">
        <f t="shared" si="1"/>
        <v>0.30864197530864201</v>
      </c>
    </row>
    <row r="41" spans="1:6" x14ac:dyDescent="0.25">
      <c r="A41" s="4">
        <v>511782716</v>
      </c>
      <c r="B41" s="5">
        <v>60.768292682926827</v>
      </c>
      <c r="C41" s="5">
        <v>2.6463414634146343</v>
      </c>
      <c r="D41" s="5">
        <v>0.62195121951219512</v>
      </c>
      <c r="E41" s="6">
        <f t="shared" si="0"/>
        <v>4.3548063415613091E-2</v>
      </c>
      <c r="F41" s="6">
        <f t="shared" si="1"/>
        <v>0.23502304147465436</v>
      </c>
    </row>
    <row r="42" spans="1:6" x14ac:dyDescent="0.25">
      <c r="A42" s="4">
        <v>511833188</v>
      </c>
      <c r="B42" s="5">
        <v>170.86585365853659</v>
      </c>
      <c r="C42" s="5">
        <v>5.7560975609756095</v>
      </c>
      <c r="D42" s="5">
        <v>2.7926829268292681</v>
      </c>
      <c r="E42" s="6">
        <f t="shared" si="0"/>
        <v>3.3687816715437864E-2</v>
      </c>
      <c r="F42" s="6">
        <f t="shared" si="1"/>
        <v>0.48516949152542371</v>
      </c>
    </row>
    <row r="43" spans="1:6" x14ac:dyDescent="0.25">
      <c r="A43" s="4">
        <v>512141797</v>
      </c>
      <c r="B43" s="5">
        <v>1406.780487804878</v>
      </c>
      <c r="C43" s="5">
        <v>57.560975609756099</v>
      </c>
      <c r="D43" s="5">
        <v>22.451219512195124</v>
      </c>
      <c r="E43" s="6">
        <f t="shared" si="0"/>
        <v>4.0916814036547733E-2</v>
      </c>
      <c r="F43" s="6">
        <f t="shared" si="1"/>
        <v>0.39004237288135596</v>
      </c>
    </row>
    <row r="44" spans="1:6" x14ac:dyDescent="0.25">
      <c r="A44" s="4">
        <v>512264938</v>
      </c>
      <c r="B44" s="5">
        <v>1145.4024390243903</v>
      </c>
      <c r="C44" s="5">
        <v>40.426829268292686</v>
      </c>
      <c r="D44" s="5">
        <v>15.902439024390244</v>
      </c>
      <c r="E44" s="6">
        <f t="shared" si="0"/>
        <v>3.5294869201367075E-2</v>
      </c>
      <c r="F44" s="6">
        <f t="shared" si="1"/>
        <v>0.39336349924585218</v>
      </c>
    </row>
    <row r="45" spans="1:6" x14ac:dyDescent="0.25">
      <c r="A45" s="4">
        <v>512287731</v>
      </c>
      <c r="B45" s="5">
        <v>1.4512195121951219</v>
      </c>
      <c r="C45" s="5">
        <v>6.097560975609756E-2</v>
      </c>
      <c r="D45" s="5">
        <v>4.878048780487805E-2</v>
      </c>
      <c r="E45" s="6">
        <f t="shared" si="0"/>
        <v>4.2016806722689079E-2</v>
      </c>
      <c r="F45" s="6">
        <f t="shared" si="1"/>
        <v>0.8</v>
      </c>
    </row>
    <row r="46" spans="1:6" x14ac:dyDescent="0.25">
      <c r="A46" s="4">
        <v>512551060</v>
      </c>
      <c r="B46" s="5">
        <v>5658.7560975609758</v>
      </c>
      <c r="C46" s="5">
        <v>217</v>
      </c>
      <c r="D46" s="5">
        <v>84.048780487804876</v>
      </c>
      <c r="E46" s="6">
        <f t="shared" si="0"/>
        <v>3.8347650306669138E-2</v>
      </c>
      <c r="F46" s="6">
        <f t="shared" si="1"/>
        <v>0.38732156906822524</v>
      </c>
    </row>
    <row r="47" spans="1:6" x14ac:dyDescent="0.25">
      <c r="A47" s="4">
        <v>512582727</v>
      </c>
      <c r="B47" s="5">
        <v>114.26829268292683</v>
      </c>
      <c r="C47" s="5">
        <v>3.9634146341463414</v>
      </c>
      <c r="D47" s="5">
        <v>1.6707317073170731</v>
      </c>
      <c r="E47" s="6">
        <f t="shared" si="0"/>
        <v>3.4685165421558167E-2</v>
      </c>
      <c r="F47" s="6">
        <f t="shared" si="1"/>
        <v>0.42153846153846153</v>
      </c>
    </row>
    <row r="48" spans="1:6" x14ac:dyDescent="0.25">
      <c r="A48" s="4">
        <v>512665746</v>
      </c>
      <c r="B48" s="5">
        <v>156.17073170731706</v>
      </c>
      <c r="C48" s="5">
        <v>5.6829268292682924</v>
      </c>
      <c r="D48" s="5">
        <v>2.3536585365853657</v>
      </c>
      <c r="E48" s="6">
        <f t="shared" si="0"/>
        <v>3.6389192565984697E-2</v>
      </c>
      <c r="F48" s="6">
        <f t="shared" si="1"/>
        <v>0.41416309012875535</v>
      </c>
    </row>
    <row r="49" spans="1:6" x14ac:dyDescent="0.25">
      <c r="A49" s="4">
        <v>512770793</v>
      </c>
      <c r="B49" s="5">
        <v>55.451219512195124</v>
      </c>
      <c r="C49" s="5">
        <v>2.0731707317073171</v>
      </c>
      <c r="D49" s="5">
        <v>0.65853658536585369</v>
      </c>
      <c r="E49" s="6">
        <f t="shared" si="0"/>
        <v>3.7387288321970531E-2</v>
      </c>
      <c r="F49" s="6">
        <f t="shared" si="1"/>
        <v>0.31764705882352939</v>
      </c>
    </row>
    <row r="50" spans="1:6" x14ac:dyDescent="0.25">
      <c r="A50" s="4">
        <v>513014795</v>
      </c>
      <c r="B50" s="5">
        <v>1683.1341463414635</v>
      </c>
      <c r="C50" s="5">
        <v>50.951219512195124</v>
      </c>
      <c r="D50" s="5">
        <v>21.036585365853657</v>
      </c>
      <c r="E50" s="6">
        <f t="shared" si="0"/>
        <v>3.0271633204605228E-2</v>
      </c>
      <c r="F50" s="6">
        <f t="shared" si="1"/>
        <v>0.41287697462900907</v>
      </c>
    </row>
    <row r="51" spans="1:6" x14ac:dyDescent="0.25">
      <c r="A51" s="4">
        <v>513014803</v>
      </c>
      <c r="B51" s="5">
        <v>853.51219512195121</v>
      </c>
      <c r="C51" s="5">
        <v>27.878048780487806</v>
      </c>
      <c r="D51" s="5">
        <v>7.9512195121951219</v>
      </c>
      <c r="E51" s="6">
        <f t="shared" si="0"/>
        <v>3.2662742184374469E-2</v>
      </c>
      <c r="F51" s="6">
        <f t="shared" si="1"/>
        <v>0.28521434820647418</v>
      </c>
    </row>
    <row r="52" spans="1:6" x14ac:dyDescent="0.25">
      <c r="A52" s="4">
        <v>513073403</v>
      </c>
      <c r="B52" s="5">
        <v>905.65853658536582</v>
      </c>
      <c r="C52" s="5">
        <v>36.329268292682926</v>
      </c>
      <c r="D52" s="5">
        <v>14.902439024390244</v>
      </c>
      <c r="E52" s="6">
        <f t="shared" si="0"/>
        <v>4.0113648604976841E-2</v>
      </c>
      <c r="F52" s="6">
        <f t="shared" si="1"/>
        <v>0.41020476670023498</v>
      </c>
    </row>
    <row r="53" spans="1:6" x14ac:dyDescent="0.25">
      <c r="A53" s="4">
        <v>513549030</v>
      </c>
      <c r="B53" s="5">
        <v>251.67073170731706</v>
      </c>
      <c r="C53" s="5">
        <v>10.768292682926829</v>
      </c>
      <c r="D53" s="5">
        <v>3.5487804878048781</v>
      </c>
      <c r="E53" s="6">
        <f t="shared" si="0"/>
        <v>4.2787226825604499E-2</v>
      </c>
      <c r="F53" s="6">
        <f t="shared" si="1"/>
        <v>0.32955832389580975</v>
      </c>
    </row>
    <row r="54" spans="1:6" x14ac:dyDescent="0.25">
      <c r="A54" s="4">
        <v>513636704</v>
      </c>
      <c r="B54" s="5">
        <v>140.76829268292684</v>
      </c>
      <c r="C54" s="5">
        <v>3.5853658536585367</v>
      </c>
      <c r="D54" s="5">
        <v>1.4512195121951219</v>
      </c>
      <c r="E54" s="6">
        <f t="shared" si="0"/>
        <v>2.5469981807155852E-2</v>
      </c>
      <c r="F54" s="6">
        <f t="shared" si="1"/>
        <v>0.40476190476190477</v>
      </c>
    </row>
    <row r="55" spans="1:6" x14ac:dyDescent="0.25">
      <c r="A55" s="4">
        <v>514176106</v>
      </c>
      <c r="B55" s="5">
        <v>150.53658536585365</v>
      </c>
      <c r="C55" s="5">
        <v>5.9878048780487809</v>
      </c>
      <c r="D55" s="5">
        <v>2.4878048780487805</v>
      </c>
      <c r="E55" s="6">
        <f t="shared" si="0"/>
        <v>3.9776409591704476E-2</v>
      </c>
      <c r="F55" s="6">
        <f t="shared" si="1"/>
        <v>0.41547861507128309</v>
      </c>
    </row>
    <row r="56" spans="1:6" x14ac:dyDescent="0.25">
      <c r="A56" s="4">
        <v>514226083</v>
      </c>
      <c r="B56" s="5">
        <v>111.97560975609755</v>
      </c>
      <c r="C56" s="5">
        <v>4.8414634146341466</v>
      </c>
      <c r="D56" s="5">
        <v>1.975609756097561</v>
      </c>
      <c r="E56" s="6">
        <f t="shared" si="0"/>
        <v>4.3236767588760626E-2</v>
      </c>
      <c r="F56" s="6">
        <f t="shared" si="1"/>
        <v>0.40806045340050373</v>
      </c>
    </row>
    <row r="57" spans="1:6" x14ac:dyDescent="0.25">
      <c r="A57" s="4">
        <v>514231067</v>
      </c>
      <c r="B57" s="5">
        <v>87.08536585365853</v>
      </c>
      <c r="C57" s="5">
        <v>3.8414634146341462</v>
      </c>
      <c r="D57" s="5">
        <v>1.7926829268292683</v>
      </c>
      <c r="E57" s="6">
        <f t="shared" si="0"/>
        <v>4.4111468981935305E-2</v>
      </c>
      <c r="F57" s="6">
        <f t="shared" si="1"/>
        <v>0.46666666666666667</v>
      </c>
    </row>
    <row r="58" spans="1:6" x14ac:dyDescent="0.25">
      <c r="A58" s="4">
        <v>514231406</v>
      </c>
      <c r="B58" s="5">
        <v>109.91463414634147</v>
      </c>
      <c r="C58" s="5">
        <v>4.3658536585365857</v>
      </c>
      <c r="D58" s="5">
        <v>2.0487804878048781</v>
      </c>
      <c r="E58" s="6">
        <f t="shared" si="0"/>
        <v>3.9720403861089541E-2</v>
      </c>
      <c r="F58" s="6">
        <f t="shared" si="1"/>
        <v>0.46927374301675973</v>
      </c>
    </row>
    <row r="59" spans="1:6" x14ac:dyDescent="0.25">
      <c r="A59" s="4">
        <v>514238047</v>
      </c>
      <c r="B59" s="5">
        <v>141.15853658536585</v>
      </c>
      <c r="C59" s="5">
        <v>6.5</v>
      </c>
      <c r="D59" s="5">
        <v>2.7317073170731709</v>
      </c>
      <c r="E59" s="6">
        <f t="shared" si="0"/>
        <v>4.6047516198704105E-2</v>
      </c>
      <c r="F59" s="6">
        <f t="shared" si="1"/>
        <v>0.42026266416510322</v>
      </c>
    </row>
    <row r="60" spans="1:6" x14ac:dyDescent="0.25">
      <c r="A60" s="4">
        <v>514500974</v>
      </c>
      <c r="B60" s="5">
        <v>780.23170731707319</v>
      </c>
      <c r="C60" s="5">
        <v>30.695121951219512</v>
      </c>
      <c r="D60" s="5">
        <v>12.085365853658537</v>
      </c>
      <c r="E60" s="6">
        <f t="shared" si="0"/>
        <v>3.934103377670798E-2</v>
      </c>
      <c r="F60" s="6">
        <f t="shared" si="1"/>
        <v>0.39372268573698849</v>
      </c>
    </row>
    <row r="61" spans="1:6" x14ac:dyDescent="0.25">
      <c r="A61" s="4">
        <v>514808591</v>
      </c>
      <c r="B61" s="5">
        <v>807.98780487804879</v>
      </c>
      <c r="C61" s="5">
        <v>32.548780487804876</v>
      </c>
      <c r="D61" s="5">
        <v>12.902439024390244</v>
      </c>
      <c r="E61" s="6">
        <f t="shared" si="0"/>
        <v>4.0283752169647573E-2</v>
      </c>
      <c r="F61" s="6">
        <f t="shared" si="1"/>
        <v>0.3964031472461596</v>
      </c>
    </row>
    <row r="62" spans="1:6" x14ac:dyDescent="0.25">
      <c r="A62" s="4">
        <v>516603792</v>
      </c>
      <c r="B62" s="5">
        <v>17.573170731707318</v>
      </c>
      <c r="C62" s="5">
        <v>0.65853658536585369</v>
      </c>
      <c r="D62" s="5">
        <v>0.2073170731707317</v>
      </c>
      <c r="E62" s="6">
        <f t="shared" si="0"/>
        <v>3.7473976405274112E-2</v>
      </c>
      <c r="F62" s="6">
        <f t="shared" si="1"/>
        <v>0.31481481481481477</v>
      </c>
    </row>
    <row r="63" spans="1:6" x14ac:dyDescent="0.25">
      <c r="A63" s="4">
        <v>520037565</v>
      </c>
      <c r="B63" s="5">
        <v>21194.963414634145</v>
      </c>
      <c r="C63" s="5">
        <v>740.06097560975604</v>
      </c>
      <c r="D63" s="5">
        <v>284.34146341463412</v>
      </c>
      <c r="E63" s="6">
        <f t="shared" si="0"/>
        <v>3.4916831944082433E-2</v>
      </c>
      <c r="F63" s="6">
        <f t="shared" si="1"/>
        <v>0.38421356183570898</v>
      </c>
    </row>
    <row r="64" spans="1:6" x14ac:dyDescent="0.25">
      <c r="A64" s="4">
        <v>540169968</v>
      </c>
      <c r="B64" s="5">
        <v>24.853658536585368</v>
      </c>
      <c r="C64" s="5">
        <v>0.95121951219512191</v>
      </c>
      <c r="D64" s="5">
        <v>0.3902439024390244</v>
      </c>
      <c r="E64" s="6">
        <f t="shared" si="0"/>
        <v>3.8272816486751716E-2</v>
      </c>
      <c r="F64" s="6">
        <f t="shared" si="1"/>
        <v>0.4102564102564103</v>
      </c>
    </row>
    <row r="65" spans="1:6" x14ac:dyDescent="0.25">
      <c r="A65" s="4">
        <v>580015337</v>
      </c>
      <c r="B65" s="5">
        <v>105.82926829268293</v>
      </c>
      <c r="C65" s="5">
        <v>3.5365853658536586</v>
      </c>
      <c r="D65" s="5">
        <v>1.8658536585365855</v>
      </c>
      <c r="E65" s="6">
        <f t="shared" si="0"/>
        <v>3.3417838211569489E-2</v>
      </c>
      <c r="F65" s="6">
        <f t="shared" si="1"/>
        <v>0.52758620689655178</v>
      </c>
    </row>
    <row r="66" spans="1:6" x14ac:dyDescent="0.25">
      <c r="A66" s="4">
        <v>901015529</v>
      </c>
      <c r="B66" s="5">
        <v>18.390243902439025</v>
      </c>
      <c r="C66" s="5">
        <v>0.67073170731707321</v>
      </c>
      <c r="D66" s="5">
        <v>0.32926829268292684</v>
      </c>
      <c r="E66" s="6">
        <f t="shared" si="0"/>
        <v>3.6472148541114059E-2</v>
      </c>
      <c r="F66" s="6">
        <f t="shared" si="1"/>
        <v>0.49090909090909091</v>
      </c>
    </row>
    <row r="67" spans="1:6" x14ac:dyDescent="0.25">
      <c r="A67" s="4">
        <v>902018647</v>
      </c>
      <c r="B67" s="5">
        <v>169.35365853658536</v>
      </c>
      <c r="C67" s="5">
        <v>6.7073170731707314</v>
      </c>
      <c r="D67" s="5">
        <v>2.4634146341463414</v>
      </c>
      <c r="E67" s="6">
        <f t="shared" ref="E67:E110" si="2">C67/B67</f>
        <v>3.9605386332541223E-2</v>
      </c>
      <c r="F67" s="6">
        <f t="shared" ref="F67:F110" si="3">D67/C67</f>
        <v>0.36727272727272731</v>
      </c>
    </row>
    <row r="68" spans="1:6" x14ac:dyDescent="0.25">
      <c r="A68" s="4">
        <v>902040096</v>
      </c>
      <c r="B68" s="5">
        <v>88.207317073170728</v>
      </c>
      <c r="C68" s="5">
        <v>3.2317073170731709</v>
      </c>
      <c r="D68" s="5">
        <v>1.5121951219512195</v>
      </c>
      <c r="E68" s="6">
        <f t="shared" si="2"/>
        <v>3.663763307064842E-2</v>
      </c>
      <c r="F68" s="6">
        <f t="shared" si="3"/>
        <v>0.46792452830188674</v>
      </c>
    </row>
    <row r="69" spans="1:6" x14ac:dyDescent="0.25">
      <c r="A69" s="4">
        <v>902050251</v>
      </c>
      <c r="B69" s="5">
        <v>184.8170731707317</v>
      </c>
      <c r="C69" s="5">
        <v>6.2926829268292686</v>
      </c>
      <c r="D69" s="5">
        <v>3.3902439024390243</v>
      </c>
      <c r="E69" s="6">
        <f t="shared" si="2"/>
        <v>3.4048168921148141E-2</v>
      </c>
      <c r="F69" s="6">
        <f t="shared" si="3"/>
        <v>0.53875968992248058</v>
      </c>
    </row>
    <row r="70" spans="1:6" x14ac:dyDescent="0.25">
      <c r="A70" s="4">
        <v>904120318</v>
      </c>
      <c r="B70" s="5">
        <v>17.512195121951219</v>
      </c>
      <c r="C70" s="5">
        <v>0.62195121951219512</v>
      </c>
      <c r="D70" s="5">
        <v>0.46341463414634149</v>
      </c>
      <c r="E70" s="6">
        <f t="shared" si="2"/>
        <v>3.5515320334261836E-2</v>
      </c>
      <c r="F70" s="6">
        <f t="shared" si="3"/>
        <v>0.74509803921568629</v>
      </c>
    </row>
    <row r="71" spans="1:6" x14ac:dyDescent="0.25">
      <c r="A71" s="4">
        <v>905057055</v>
      </c>
      <c r="B71" s="5">
        <v>237.9390243902439</v>
      </c>
      <c r="C71" s="5">
        <v>8.3414634146341466</v>
      </c>
      <c r="D71" s="5">
        <v>4.5731707317073171</v>
      </c>
      <c r="E71" s="6">
        <f t="shared" si="2"/>
        <v>3.505714725026908E-2</v>
      </c>
      <c r="F71" s="6">
        <f t="shared" si="3"/>
        <v>0.54824561403508776</v>
      </c>
    </row>
    <row r="72" spans="1:6" x14ac:dyDescent="0.25">
      <c r="A72" s="4">
        <v>905068607</v>
      </c>
      <c r="B72" s="5">
        <v>309.53658536585368</v>
      </c>
      <c r="C72" s="5">
        <v>10.475609756097562</v>
      </c>
      <c r="D72" s="5">
        <v>4.1707317073170733</v>
      </c>
      <c r="E72" s="6">
        <f t="shared" si="2"/>
        <v>3.3842880781656294E-2</v>
      </c>
      <c r="F72" s="6">
        <f t="shared" si="3"/>
        <v>0.39813736903376018</v>
      </c>
    </row>
    <row r="73" spans="1:6" x14ac:dyDescent="0.25">
      <c r="A73" s="4">
        <v>905139077</v>
      </c>
      <c r="B73" s="5">
        <v>207.85365853658536</v>
      </c>
      <c r="C73" s="5">
        <v>6.1829268292682924</v>
      </c>
      <c r="D73" s="5">
        <v>2.5121951219512195</v>
      </c>
      <c r="E73" s="6">
        <f t="shared" si="2"/>
        <v>2.9746538371274348E-2</v>
      </c>
      <c r="F73" s="6">
        <f t="shared" si="3"/>
        <v>0.40631163708086787</v>
      </c>
    </row>
    <row r="74" spans="1:6" x14ac:dyDescent="0.25">
      <c r="A74" s="4">
        <v>905140935</v>
      </c>
      <c r="B74" s="5">
        <v>585.90243902439022</v>
      </c>
      <c r="C74" s="5">
        <v>23.743902439024389</v>
      </c>
      <c r="D74" s="5">
        <v>9.7439024390243905</v>
      </c>
      <c r="E74" s="6">
        <f t="shared" si="2"/>
        <v>4.0525351760885855E-2</v>
      </c>
      <c r="F74" s="6">
        <f t="shared" si="3"/>
        <v>0.41037493579866463</v>
      </c>
    </row>
    <row r="75" spans="1:6" x14ac:dyDescent="0.25">
      <c r="A75" s="4">
        <v>907423370</v>
      </c>
      <c r="B75" s="5">
        <v>398.0609756097561</v>
      </c>
      <c r="C75" s="5">
        <v>14.048780487804878</v>
      </c>
      <c r="D75" s="5">
        <v>7</v>
      </c>
      <c r="E75" s="6">
        <f t="shared" si="2"/>
        <v>3.5293036365307437E-2</v>
      </c>
      <c r="F75" s="6">
        <f t="shared" si="3"/>
        <v>0.4982638888888889</v>
      </c>
    </row>
    <row r="76" spans="1:6" x14ac:dyDescent="0.25">
      <c r="A76" s="4">
        <v>910215334</v>
      </c>
      <c r="B76" s="5">
        <v>22.463414634146343</v>
      </c>
      <c r="C76" s="5">
        <v>0.65853658536585369</v>
      </c>
      <c r="D76" s="5">
        <v>0.23170731707317074</v>
      </c>
      <c r="E76" s="6">
        <f t="shared" si="2"/>
        <v>2.9315960912052116E-2</v>
      </c>
      <c r="F76" s="6">
        <f t="shared" si="3"/>
        <v>0.35185185185185186</v>
      </c>
    </row>
    <row r="77" spans="1:6" x14ac:dyDescent="0.25">
      <c r="A77" s="4">
        <v>910269026</v>
      </c>
      <c r="B77" s="5">
        <v>52.304878048780488</v>
      </c>
      <c r="C77" s="5">
        <v>2.0853658536585367</v>
      </c>
      <c r="D77" s="5">
        <v>1.0853658536585367</v>
      </c>
      <c r="E77" s="6">
        <f t="shared" si="2"/>
        <v>3.986943343436699E-2</v>
      </c>
      <c r="F77" s="6">
        <f t="shared" si="3"/>
        <v>0.52046783625730997</v>
      </c>
    </row>
    <row r="78" spans="1:6" x14ac:dyDescent="0.25">
      <c r="A78" s="4">
        <v>910345024</v>
      </c>
      <c r="B78" s="5">
        <v>79.146341463414629</v>
      </c>
      <c r="C78" s="5">
        <v>3.0731707317073171</v>
      </c>
      <c r="D78" s="5">
        <v>1.4390243902439024</v>
      </c>
      <c r="E78" s="6">
        <f t="shared" si="2"/>
        <v>3.8828967642526968E-2</v>
      </c>
      <c r="F78" s="6">
        <f t="shared" si="3"/>
        <v>0.4682539682539682</v>
      </c>
    </row>
    <row r="79" spans="1:6" x14ac:dyDescent="0.25">
      <c r="A79" s="4">
        <v>910427962</v>
      </c>
      <c r="B79" s="5">
        <v>175.0609756097561</v>
      </c>
      <c r="C79" s="5">
        <v>4.1463414634146343</v>
      </c>
      <c r="D79" s="5">
        <v>1.8414634146341464</v>
      </c>
      <c r="E79" s="6">
        <f t="shared" si="2"/>
        <v>2.3685127133402997E-2</v>
      </c>
      <c r="F79" s="6">
        <f t="shared" si="3"/>
        <v>0.44411764705882356</v>
      </c>
    </row>
    <row r="80" spans="1:6" x14ac:dyDescent="0.25">
      <c r="A80" s="4">
        <v>917081358</v>
      </c>
      <c r="B80" s="5">
        <v>86.475609756097555</v>
      </c>
      <c r="C80" s="5">
        <v>3.6585365853658538</v>
      </c>
      <c r="D80" s="5">
        <v>1.5121951219512195</v>
      </c>
      <c r="E80" s="6">
        <f t="shared" si="2"/>
        <v>4.2307149908334514E-2</v>
      </c>
      <c r="F80" s="6">
        <f t="shared" si="3"/>
        <v>0.41333333333333333</v>
      </c>
    </row>
    <row r="81" spans="1:6" x14ac:dyDescent="0.25">
      <c r="A81" s="4">
        <v>917091985</v>
      </c>
      <c r="B81" s="5">
        <v>178.29268292682926</v>
      </c>
      <c r="C81" s="5">
        <v>5.0853658536585362</v>
      </c>
      <c r="D81" s="5">
        <v>1.7682926829268293</v>
      </c>
      <c r="E81" s="6">
        <f t="shared" si="2"/>
        <v>2.8522571819425444E-2</v>
      </c>
      <c r="F81" s="6">
        <f t="shared" si="3"/>
        <v>0.34772182254196643</v>
      </c>
    </row>
    <row r="82" spans="1:6" x14ac:dyDescent="0.25">
      <c r="A82" s="4">
        <v>917100414</v>
      </c>
      <c r="B82" s="5">
        <v>219.91463414634146</v>
      </c>
      <c r="C82" s="5">
        <v>9.8048780487804876</v>
      </c>
      <c r="D82" s="5">
        <v>1.9390243902439024</v>
      </c>
      <c r="E82" s="6">
        <f t="shared" si="2"/>
        <v>4.4584927632673431E-2</v>
      </c>
      <c r="F82" s="6">
        <f t="shared" si="3"/>
        <v>0.19776119402985073</v>
      </c>
    </row>
    <row r="83" spans="1:6" x14ac:dyDescent="0.25">
      <c r="A83" s="4">
        <v>921103271</v>
      </c>
      <c r="B83" s="5">
        <v>75.634146341463421</v>
      </c>
      <c r="C83" s="5">
        <v>3.1219512195121952</v>
      </c>
      <c r="D83" s="5">
        <v>1.1097560975609757</v>
      </c>
      <c r="E83" s="6">
        <f t="shared" si="2"/>
        <v>4.1277007416962268E-2</v>
      </c>
      <c r="F83" s="6">
        <f t="shared" si="3"/>
        <v>0.35546875</v>
      </c>
    </row>
    <row r="84" spans="1:6" x14ac:dyDescent="0.25">
      <c r="A84" s="4">
        <v>921117156</v>
      </c>
      <c r="B84" s="5">
        <v>98.841463414634148</v>
      </c>
      <c r="C84" s="5">
        <v>4.3414634146341466</v>
      </c>
      <c r="D84" s="5">
        <v>2.0731707317073171</v>
      </c>
      <c r="E84" s="6">
        <f t="shared" si="2"/>
        <v>4.3923504009870454E-2</v>
      </c>
      <c r="F84" s="6">
        <f t="shared" si="3"/>
        <v>0.47752808988764045</v>
      </c>
    </row>
    <row r="85" spans="1:6" x14ac:dyDescent="0.25">
      <c r="A85" s="4">
        <v>921120556</v>
      </c>
      <c r="B85" s="5">
        <v>344.0609756097561</v>
      </c>
      <c r="C85" s="5">
        <v>11.426829268292684</v>
      </c>
      <c r="D85" s="5">
        <v>3.0365853658536586</v>
      </c>
      <c r="E85" s="6">
        <f t="shared" si="2"/>
        <v>3.3211640024102367E-2</v>
      </c>
      <c r="F85" s="6">
        <f t="shared" si="3"/>
        <v>0.26574172892209175</v>
      </c>
    </row>
    <row r="86" spans="1:6" x14ac:dyDescent="0.25">
      <c r="A86" s="4">
        <v>921167474</v>
      </c>
      <c r="B86" s="5">
        <v>56.353658536585364</v>
      </c>
      <c r="C86" s="5">
        <v>2.2804878048780486</v>
      </c>
      <c r="D86" s="5">
        <v>0.86585365853658536</v>
      </c>
      <c r="E86" s="6">
        <f t="shared" si="2"/>
        <v>4.0467431291928153E-2</v>
      </c>
      <c r="F86" s="6">
        <f t="shared" si="3"/>
        <v>0.37967914438502676</v>
      </c>
    </row>
    <row r="87" spans="1:6" x14ac:dyDescent="0.25">
      <c r="A87" s="4">
        <v>923180327</v>
      </c>
      <c r="B87" s="5">
        <v>131.54878048780489</v>
      </c>
      <c r="C87" s="5">
        <v>4.4634146341463419</v>
      </c>
      <c r="D87" s="5">
        <v>1.8414634146341464</v>
      </c>
      <c r="E87" s="6">
        <f t="shared" si="2"/>
        <v>3.3929730230833413E-2</v>
      </c>
      <c r="F87" s="6">
        <f t="shared" si="3"/>
        <v>0.41256830601092892</v>
      </c>
    </row>
    <row r="88" spans="1:6" x14ac:dyDescent="0.25">
      <c r="A88" s="4">
        <v>924084809</v>
      </c>
      <c r="B88" s="5">
        <v>44.048780487804876</v>
      </c>
      <c r="C88" s="5">
        <v>1.6219512195121952</v>
      </c>
      <c r="D88" s="5">
        <v>0.76829268292682928</v>
      </c>
      <c r="E88" s="6">
        <f t="shared" si="2"/>
        <v>3.6821705426356592E-2</v>
      </c>
      <c r="F88" s="6">
        <f t="shared" si="3"/>
        <v>0.47368421052631576</v>
      </c>
    </row>
    <row r="89" spans="1:6" x14ac:dyDescent="0.25">
      <c r="A89" s="4">
        <v>924138274</v>
      </c>
      <c r="B89" s="5">
        <v>71.926829268292678</v>
      </c>
      <c r="C89" s="5">
        <v>2.9390243902439024</v>
      </c>
      <c r="D89" s="5">
        <v>1.4024390243902438</v>
      </c>
      <c r="E89" s="6">
        <f t="shared" si="2"/>
        <v>4.0861308918277384E-2</v>
      </c>
      <c r="F89" s="6">
        <f t="shared" si="3"/>
        <v>0.47717842323651449</v>
      </c>
    </row>
    <row r="90" spans="1:6" x14ac:dyDescent="0.25">
      <c r="A90" s="4">
        <v>925039075</v>
      </c>
      <c r="B90" s="5">
        <v>52.634146341463413</v>
      </c>
      <c r="C90" s="5">
        <v>2.3292682926829267</v>
      </c>
      <c r="D90" s="5">
        <v>0.76829268292682928</v>
      </c>
      <c r="E90" s="6">
        <f t="shared" si="2"/>
        <v>4.4253938832252086E-2</v>
      </c>
      <c r="F90" s="6">
        <f t="shared" si="3"/>
        <v>0.32984293193717279</v>
      </c>
    </row>
    <row r="91" spans="1:6" x14ac:dyDescent="0.25">
      <c r="A91" s="4">
        <v>925083776</v>
      </c>
      <c r="B91" s="5">
        <v>20.195121951219512</v>
      </c>
      <c r="C91" s="5">
        <v>0.86585365853658536</v>
      </c>
      <c r="D91" s="5">
        <v>0.32926829268292684</v>
      </c>
      <c r="E91" s="6">
        <f t="shared" si="2"/>
        <v>4.2874396135265697E-2</v>
      </c>
      <c r="F91" s="6">
        <f t="shared" si="3"/>
        <v>0.38028169014084512</v>
      </c>
    </row>
    <row r="92" spans="1:6" x14ac:dyDescent="0.25">
      <c r="A92" s="4">
        <v>926107459</v>
      </c>
      <c r="B92" s="5">
        <v>145.09756097560975</v>
      </c>
      <c r="C92" s="5">
        <v>5.3536585365853657</v>
      </c>
      <c r="D92" s="5">
        <v>2.1585365853658538</v>
      </c>
      <c r="E92" s="6">
        <f t="shared" si="2"/>
        <v>3.6896957471844009E-2</v>
      </c>
      <c r="F92" s="6">
        <f t="shared" si="3"/>
        <v>0.40318906605922555</v>
      </c>
    </row>
    <row r="93" spans="1:6" x14ac:dyDescent="0.25">
      <c r="A93" s="4">
        <v>930618269</v>
      </c>
      <c r="B93" s="5">
        <v>19118.939024390245</v>
      </c>
      <c r="C93" s="5">
        <v>725.06097560975604</v>
      </c>
      <c r="D93" s="5">
        <v>298.0609756097561</v>
      </c>
      <c r="E93" s="6">
        <f t="shared" si="2"/>
        <v>3.7923703542586104E-2</v>
      </c>
      <c r="F93" s="6">
        <f t="shared" si="3"/>
        <v>0.41108401311916581</v>
      </c>
    </row>
    <row r="94" spans="1:6" x14ac:dyDescent="0.25">
      <c r="A94" s="4">
        <v>930778733</v>
      </c>
      <c r="B94" s="5">
        <v>93.621951219512198</v>
      </c>
      <c r="C94" s="5">
        <v>3.6707317073170733</v>
      </c>
      <c r="D94" s="5">
        <v>1.6951219512195121</v>
      </c>
      <c r="E94" s="6">
        <f t="shared" si="2"/>
        <v>3.9208023967695717E-2</v>
      </c>
      <c r="F94" s="6">
        <f t="shared" si="3"/>
        <v>0.46179401993355479</v>
      </c>
    </row>
    <row r="95" spans="1:6" x14ac:dyDescent="0.25">
      <c r="A95" s="4">
        <v>935237073</v>
      </c>
      <c r="B95" s="5">
        <v>1674.7439024390244</v>
      </c>
      <c r="C95" s="5">
        <v>68.256097560975604</v>
      </c>
      <c r="D95" s="5">
        <v>26.317073170731707</v>
      </c>
      <c r="E95" s="6">
        <f t="shared" si="2"/>
        <v>4.075614036365225E-2</v>
      </c>
      <c r="F95" s="6">
        <f t="shared" si="3"/>
        <v>0.38556369483651959</v>
      </c>
    </row>
    <row r="96" spans="1:6" x14ac:dyDescent="0.25">
      <c r="A96" s="4">
        <v>939116075</v>
      </c>
      <c r="B96" s="5">
        <v>68.780487804878049</v>
      </c>
      <c r="C96" s="5">
        <v>3.0365853658536586</v>
      </c>
      <c r="D96" s="5">
        <v>1.2682926829268293</v>
      </c>
      <c r="E96" s="6">
        <f t="shared" si="2"/>
        <v>4.4148936170212767E-2</v>
      </c>
      <c r="F96" s="6">
        <f t="shared" si="3"/>
        <v>0.41767068273092367</v>
      </c>
    </row>
    <row r="97" spans="1:6" x14ac:dyDescent="0.25">
      <c r="A97" s="4">
        <v>939137105</v>
      </c>
      <c r="B97" s="5">
        <v>59.926829268292686</v>
      </c>
      <c r="C97" s="5">
        <v>2.1585365853658538</v>
      </c>
      <c r="D97" s="5">
        <v>0.98780487804878048</v>
      </c>
      <c r="E97" s="6">
        <f t="shared" si="2"/>
        <v>3.6019536019536023E-2</v>
      </c>
      <c r="F97" s="6">
        <f t="shared" si="3"/>
        <v>0.45762711864406774</v>
      </c>
    </row>
    <row r="98" spans="1:6" x14ac:dyDescent="0.25">
      <c r="A98" s="4">
        <v>939153771</v>
      </c>
      <c r="B98" s="5">
        <v>91.121951219512198</v>
      </c>
      <c r="C98" s="5">
        <v>3.4390243902439024</v>
      </c>
      <c r="D98" s="5">
        <v>1.3902439024390243</v>
      </c>
      <c r="E98" s="6">
        <f t="shared" si="2"/>
        <v>3.7740899357601713E-2</v>
      </c>
      <c r="F98" s="6">
        <f t="shared" si="3"/>
        <v>0.40425531914893614</v>
      </c>
    </row>
    <row r="99" spans="1:6" x14ac:dyDescent="0.25">
      <c r="A99" s="4">
        <v>939228375</v>
      </c>
      <c r="B99" s="5">
        <v>2020.7439024390244</v>
      </c>
      <c r="C99" s="5">
        <v>81.280487804878049</v>
      </c>
      <c r="D99" s="5">
        <v>32.487804878048777</v>
      </c>
      <c r="E99" s="6">
        <f t="shared" si="2"/>
        <v>4.022305236540516E-2</v>
      </c>
      <c r="F99" s="6">
        <f t="shared" si="3"/>
        <v>0.39969992498124529</v>
      </c>
    </row>
    <row r="100" spans="1:6" x14ac:dyDescent="0.25">
      <c r="A100" s="4">
        <v>941170771</v>
      </c>
      <c r="B100" s="5">
        <v>87.634146341463421</v>
      </c>
      <c r="C100" s="5">
        <v>3.0365853658536586</v>
      </c>
      <c r="D100" s="5">
        <v>1.5975609756097562</v>
      </c>
      <c r="E100" s="6">
        <f t="shared" si="2"/>
        <v>3.4650709713331479E-2</v>
      </c>
      <c r="F100" s="6">
        <f t="shared" si="3"/>
        <v>0.52610441767068272</v>
      </c>
    </row>
    <row r="101" spans="1:6" x14ac:dyDescent="0.25">
      <c r="A101" s="4">
        <v>941193955</v>
      </c>
      <c r="B101" s="5">
        <v>2443.268292682927</v>
      </c>
      <c r="C101" s="5">
        <v>86.975609756097555</v>
      </c>
      <c r="D101" s="5">
        <v>37.475609756097562</v>
      </c>
      <c r="E101" s="6">
        <f t="shared" si="2"/>
        <v>3.559805937668456E-2</v>
      </c>
      <c r="F101" s="6">
        <f t="shared" si="3"/>
        <v>0.43087492989343806</v>
      </c>
    </row>
    <row r="102" spans="1:6" x14ac:dyDescent="0.25">
      <c r="A102" s="4">
        <v>941338055</v>
      </c>
      <c r="B102" s="5">
        <v>43.402439024390247</v>
      </c>
      <c r="C102" s="5">
        <v>1.4390243902439024</v>
      </c>
      <c r="D102" s="5">
        <v>0.48780487804878048</v>
      </c>
      <c r="E102" s="6">
        <f t="shared" si="2"/>
        <v>3.3155380724922724E-2</v>
      </c>
      <c r="F102" s="6">
        <f t="shared" si="3"/>
        <v>0.33898305084745761</v>
      </c>
    </row>
    <row r="103" spans="1:6" x14ac:dyDescent="0.25">
      <c r="A103" s="4">
        <v>941369118</v>
      </c>
      <c r="B103" s="5">
        <v>670.06097560975604</v>
      </c>
      <c r="C103" s="5">
        <v>27</v>
      </c>
      <c r="D103" s="5">
        <v>11</v>
      </c>
      <c r="E103" s="6">
        <f t="shared" si="2"/>
        <v>4.0294840294840296E-2</v>
      </c>
      <c r="F103" s="6">
        <f t="shared" si="3"/>
        <v>0.40740740740740738</v>
      </c>
    </row>
    <row r="104" spans="1:6" x14ac:dyDescent="0.25">
      <c r="A104" s="4">
        <v>941468373</v>
      </c>
      <c r="B104" s="5">
        <v>168.60975609756099</v>
      </c>
      <c r="C104" s="5">
        <v>5.475609756097561</v>
      </c>
      <c r="D104" s="5">
        <v>2.5121951219512195</v>
      </c>
      <c r="E104" s="6">
        <f t="shared" si="2"/>
        <v>3.2475047012874292E-2</v>
      </c>
      <c r="F104" s="6">
        <f t="shared" si="3"/>
        <v>0.45879732739420936</v>
      </c>
    </row>
    <row r="105" spans="1:6" x14ac:dyDescent="0.25">
      <c r="A105" s="4">
        <v>951053214</v>
      </c>
      <c r="B105" s="5">
        <v>36.939024390243901</v>
      </c>
      <c r="C105" s="5">
        <v>1.1463414634146341</v>
      </c>
      <c r="D105" s="5">
        <v>0.59756097560975607</v>
      </c>
      <c r="E105" s="6">
        <f t="shared" si="2"/>
        <v>3.1033344338065368E-2</v>
      </c>
      <c r="F105" s="6">
        <f t="shared" si="3"/>
        <v>0.52127659574468088</v>
      </c>
    </row>
    <row r="106" spans="1:6" x14ac:dyDescent="0.25">
      <c r="A106" s="4">
        <v>951065630</v>
      </c>
      <c r="B106" s="5">
        <v>64.353658536585371</v>
      </c>
      <c r="C106" s="5">
        <v>2.3292682926829267</v>
      </c>
      <c r="D106" s="5">
        <v>0.98780487804878048</v>
      </c>
      <c r="E106" s="6">
        <f t="shared" si="2"/>
        <v>3.6194807655865073E-2</v>
      </c>
      <c r="F106" s="6">
        <f t="shared" si="3"/>
        <v>0.42408376963350786</v>
      </c>
    </row>
    <row r="107" spans="1:6" x14ac:dyDescent="0.25">
      <c r="A107" s="4">
        <v>951071745</v>
      </c>
      <c r="B107" s="5">
        <v>125</v>
      </c>
      <c r="C107" s="5">
        <v>4.7073170731707314</v>
      </c>
      <c r="D107" s="5">
        <v>2</v>
      </c>
      <c r="E107" s="6">
        <f t="shared" si="2"/>
        <v>3.7658536585365852E-2</v>
      </c>
      <c r="F107" s="6">
        <f t="shared" si="3"/>
        <v>0.42487046632124353</v>
      </c>
    </row>
    <row r="108" spans="1:6" x14ac:dyDescent="0.25">
      <c r="A108" s="4">
        <v>952156859</v>
      </c>
      <c r="B108" s="5">
        <v>51.463414634146339</v>
      </c>
      <c r="C108" s="5">
        <v>1.7926829268292683</v>
      </c>
      <c r="D108" s="5">
        <v>0.97560975609756095</v>
      </c>
      <c r="E108" s="6">
        <f t="shared" si="2"/>
        <v>3.4834123222748814E-2</v>
      </c>
      <c r="F108" s="6">
        <f t="shared" si="3"/>
        <v>0.54421768707482987</v>
      </c>
    </row>
    <row r="109" spans="1:6" x14ac:dyDescent="0.25">
      <c r="A109" s="4">
        <v>952249035</v>
      </c>
      <c r="B109" s="5">
        <v>49.414634146341463</v>
      </c>
      <c r="C109" s="5">
        <v>2.7317073170731709</v>
      </c>
      <c r="D109" s="5">
        <v>0.68292682926829273</v>
      </c>
      <c r="E109" s="6">
        <f t="shared" si="2"/>
        <v>5.5281342546890426E-2</v>
      </c>
      <c r="F109" s="6">
        <f t="shared" si="3"/>
        <v>0.25</v>
      </c>
    </row>
    <row r="110" spans="1:6" x14ac:dyDescent="0.25">
      <c r="A110" s="4" t="s">
        <v>5</v>
      </c>
      <c r="B110" s="5">
        <v>142978.08536585362</v>
      </c>
      <c r="C110" s="5">
        <v>5349.3658536585372</v>
      </c>
      <c r="D110" s="5">
        <v>2116.585365853658</v>
      </c>
      <c r="E110" s="6">
        <f t="shared" si="2"/>
        <v>3.7413886470577161E-2</v>
      </c>
      <c r="F110" s="6">
        <f t="shared" si="3"/>
        <v>0.39567033247615385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זמן ברמה</vt:lpstr>
      <vt:lpstr>שיעור הנשים</vt:lpstr>
      <vt:lpstr>גילאים</vt:lpstr>
      <vt:lpstr>שירותים 1</vt:lpstr>
      <vt:lpstr>שירותים 2</vt:lpstr>
      <vt:lpstr>שירותים 3</vt:lpstr>
      <vt:lpstr>נותני שירותים (טיפול אישי בבית)</vt:lpstr>
    </vt:vector>
  </TitlesOfParts>
  <Company>BTL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שרון אסיסקוביץ</dc:creator>
  <cp:lastModifiedBy>שרון אסיסקוביץ</cp:lastModifiedBy>
  <dcterms:created xsi:type="dcterms:W3CDTF">2025-11-02T06:27:27Z</dcterms:created>
  <dcterms:modified xsi:type="dcterms:W3CDTF">2025-11-03T09:32:28Z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617620692</vt:i4>
  </property>
  <property fmtid="{D5CDD505-2E9C-101B-9397-08002B2CF9AE}" pid="3" name="_NewReviewCycle">
    <vt:lpwstr/>
  </property>
  <property fmtid="{D5CDD505-2E9C-101B-9397-08002B2CF9AE}" pid="4" name="_EmailSubject">
    <vt:lpwstr>זמן ממוצע בין רמות גמלה</vt:lpwstr>
  </property>
  <property fmtid="{D5CDD505-2E9C-101B-9397-08002B2CF9AE}" pid="5" name="_AuthorEmailDisplayName">
    <vt:lpwstr>שרון אסיסקוביץ</vt:lpwstr>
  </property>
</Properties>
</file>